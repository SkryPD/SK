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86bd4993e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造价汇总" sheetId="1" r:id="R82043b02c2584a59"/>
    <x:sheet xmlns:r="http://schemas.openxmlformats.org/officeDocument/2006/relationships" name="02_采购询价主表" sheetId="2" r:id="R3db9ffc0ad5d46c0"/>
    <x:sheet xmlns:r="http://schemas.openxmlformats.org/officeDocument/2006/relationships" name="03_工程量依据" sheetId="3" r:id="Rf2a6e25c62af4ca6"/>
    <x:sheet xmlns:r="http://schemas.openxmlformats.org/officeDocument/2006/relationships" name="04_技术与验收" sheetId="4" r:id="R024aa0b731234686"/>
    <x:sheet xmlns:r="http://schemas.openxmlformats.org/officeDocument/2006/relationships" name="05_品牌价格来源" sheetId="5" r:id="R79fb4b20fb5b4b5f"/>
  </x:sheets>
</x:workbook>
</file>

<file path=xl/comments1.xml><?xml version="1.0" encoding="utf-8"?>
<x:comments xmlns:x="http://schemas.openxmlformats.org/spreadsheetml/2006/main">
  <x:authors>
    <x:author>tc={086BFE18-AE87-4480-8B20-02D9ED032A5F}</x:author>
    <x:author>tc={FA9F49B7-B6DE-4076-A376-C9FB8C05B927}</x:author>
    <x:author>tc={76CF2803-CADE-49B0-8BE8-98860249032D}</x:author>
    <x:author>tc={C00701CA-044A-42DC-A5AC-BF0566442CF8}</x:author>
    <x:author>tc={0ADB587C-513B-4A16-9E62-72C777DCE10E}</x:author>
    <x:author>tc={831C5799-DED6-414B-A849-4F103E6E54D8}</x:author>
    <x:author>tc={2347D0B8-BB0C-43A1-A346-599F69363240}</x:author>
    <x:author>tc={51047975-A5E6-4B2C-B385-9FE2B4426232}</x:author>
    <x:author>tc={5C947E80-D4C6-4505-ADDE-3EDA02DA8956}</x:author>
    <x:author>tc={282738F9-F844-488B-A354-0F6385A4B66C}</x:author>
    <x:author>tc={53B49E25-01DD-4E31-9198-810110E2BD0D}</x:author>
    <x:author>tc={AB5F06B1-0A13-4A96-8C99-411E45E47542}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剖面图显示池底至池沿完成面约850 mm；不得把它写成实际水深。</x:t>
        </x:r>
      </x:text>
    </x:comment>
    <x:comment ref="B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池沿宽度是概算输入，必须以现场结构、排水和安全收口节点复尺。</x:t>
        </x:r>
      </x:text>
    </x:comment>
    <x:comment ref="B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坐台与入池部位展开面积无法由现有剖面唯一确定，当前18 m²仅为预算占位。</x:t>
        </x:r>
      </x:text>
    </x:comment>
    <x:comment ref="B1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3200 mm为室内概念净高，不是现场施工尺寸。</x:t>
        </x:r>
      </x:text>
    </x:comment>
    <x:comment ref="B2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端景肌理墙面积为两处合计暂估，并已从普通墙砖中扣除。</x:t>
        </x:r>
      </x:text>
    </x:comment>
    <x:comment ref="B2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吊顶毛宽包含完整区域边界；实体墙和设备洞口需在复尺后扣减。</x:t>
        </x:r>
      </x:text>
    </x:comment>
    <x:comment ref="B2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木纹铝板只计算主吊顶面层的升级差价，经济方案取消该升级。</x:t>
        </x:r>
      </x:text>
    </x:comment>
    <x:comment ref="B2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检修口位置和数量必须与新风、排风、除湿、消防和设备接口综合深化。</x:t>
        </x:r>
      </x:text>
    </x:comment>
    <x:comment ref="B2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筒灯数量、间距、功率和光束角须经照度计算确定。</x:t>
        </x:r>
      </x:text>
    </x:comment>
    <x:comment ref="B2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灯带长度须根据吊顶灯槽深化图和回路分段复核。</x:t>
        </x:r>
      </x:text>
    </x:comment>
    <x:comment ref="B2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洗墙灯必须通过样灯验证墙面均匀度和水面眩光。</x:t>
        </x:r>
      </x:text>
    </x:comment>
    <x:comment ref="B2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驱动数量取决于灯带瓦数、压降、回路和检修位置。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¥#,##0"/>
  </x:numFmts>
  <x:fonts count="11">
    <x:font>
      <x:sz val="11"/>
      <x:name val="Carlito"/>
    </x:font>
    <x:font>
      <x:b/>
      <x:sz val="16"/>
      <x:color rgb="FFFFFFFF"/>
      <x:name val="Microsoft YaHei"/>
    </x:font>
    <x:font>
      <x:sz val="10"/>
      <x:color rgb="FF607D7A"/>
      <x:name val="Microsoft YaHei"/>
    </x:font>
    <x:font>
      <x:b/>
      <x:sz val="10"/>
      <x:color rgb="FFFFFFFF"/>
      <x:name val="Microsoft YaHei"/>
    </x:font>
    <x:font>
      <x:sz val="9"/>
      <x:color rgb="FF263238"/>
      <x:name val="Microsoft YaHei"/>
    </x:font>
    <x:font>
      <x:b/>
      <x:sz val="11"/>
      <x:color rgb="FF263238"/>
      <x:name val="Microsoft YaHei"/>
    </x:font>
    <x:font>
      <x:sz val="9"/>
      <x:color rgb="FF1F4E78"/>
      <x:name val="Microsoft YaHei"/>
    </x:font>
    <x:font>
      <x:b/>
      <x:sz val="10"/>
      <x:color rgb="FF9C0006"/>
      <x:name val="Microsoft YaHei"/>
    </x:font>
    <x:font>
      <x:b/>
      <x:sz val="14"/>
      <x:color rgb="FF405B57"/>
      <x:name val="Microsoft YaHei"/>
    </x:font>
    <x:font>
      <x:b/>
      <x:sz val="10"/>
      <x:color rgb="FF263238"/>
      <x:name val="Microsoft YaHei"/>
    </x:font>
    <x:font>
      <x:b/>
      <x:sz val="10"/>
      <x:color rgb="FF375623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405B57"/>
      </x:patternFill>
    </x:fill>
    <x:fill>
      <x:patternFill patternType="solid">
        <x:fgColor rgb="FFEEF4F2"/>
      </x:patternFill>
    </x:fill>
    <x:fill>
      <x:patternFill patternType="solid">
        <x:fgColor rgb="FF6F8580"/>
      </x:patternFill>
    </x:fill>
    <x:fill>
      <x:patternFill patternType="solid">
        <x:fgColor rgb="FFFFF3CD"/>
      </x:patternFill>
    </x:fill>
    <x:fill>
      <x:patternFill patternType="solid">
        <x:fgColor rgb="FFDCE7E3"/>
      </x:patternFill>
    </x:fill>
    <x:fill>
      <x:patternFill patternType="solid">
        <x:fgColor rgb="FFFDE8E7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C8D2CF"/>
      </x:left>
      <x:right style="thin">
        <x:color rgb="FFC8D2CF"/>
      </x:right>
      <x:top style="thin">
        <x:color rgb="FFC8D2CF"/>
      </x:top>
      <x:bottom style="thin">
        <x:color rgb="FFC8D2CF"/>
      </x:bottom>
    </x:border>
    <x:border>
      <x:bottom style="thin">
        <x:color rgb="FFC8D2CF"/>
      </x:bottom>
    </x:border>
    <x:border>
      <x:top style="thin">
        <x:color rgb="FFC8D2CF"/>
      </x:top>
      <x:bottom style="thin">
        <x:color rgb="FFC8D2CF"/>
      </x:bottom>
    </x:border>
    <x:border>
      <x:left style="thin">
        <x:color rgb="FFC8D2CF"/>
      </x:left>
      <x:top style="thin">
        <x:color rgb="FFC8D2CF"/>
      </x:top>
      <x:bottom style="thin">
        <x:color rgb="FFC8D2CF"/>
      </x:bottom>
    </x:border>
    <x:border>
      <x:right style="thin">
        <x:color rgb="FFC8D2CF"/>
      </x:right>
      <x:top style="thin">
        <x:color rgb="FFC8D2CF"/>
      </x:top>
      <x:bottom style="thin">
        <x:color rgb="FFC8D2CF"/>
      </x:bottom>
    </x:border>
    <x:border>
      <x:left style="medium">
        <x:color rgb="FF6F8580"/>
      </x:left>
      <x:top style="medium">
        <x:color rgb="FF6F8580"/>
      </x:top>
      <x:bottom style="medium">
        <x:color rgb="FF6F8580"/>
      </x:bottom>
    </x:border>
    <x:border>
      <x:top style="medium">
        <x:color rgb="FF6F8580"/>
      </x:top>
      <x:bottom style="medium">
        <x:color rgb="FF6F8580"/>
      </x:bottom>
    </x:border>
    <x:border>
      <x:right style="medium">
        <x:color rgb="FF6F8580"/>
      </x:right>
      <x:top style="medium">
        <x:color rgb="FF6F8580"/>
      </x:top>
      <x:bottom style="medium">
        <x:color rgb="FF6F8580"/>
      </x:bottom>
    </x:border>
    <x:border>
      <x:left style="thin">
        <x:color rgb="FF70AD47"/>
      </x:left>
      <x:top style="thin">
        <x:color rgb="FF70AD47"/>
      </x:top>
      <x:bottom style="thin">
        <x:color rgb="FF70AD47"/>
      </x:bottom>
    </x:border>
    <x:border>
      <x:top style="thin">
        <x:color rgb="FF70AD47"/>
      </x:top>
      <x:bottom style="thin">
        <x:color rgb="FF70AD47"/>
      </x:bottom>
    </x:border>
    <x:border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1" fontId="4" fillId="5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200" fontId="4" fillId="3" borderId="2" xfId="0" applyNumberFormat="1" applyFont="1" applyFill="1" applyBorder="1" applyAlignment="1">
      <x:alignment vertical="top" wrapText="1"/>
    </x:xf>
    <x:xf numFmtId="200" fontId="4" fillId="3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3" xfId="0" applyNumberFormat="1" applyFont="1" applyFill="1" applyBorder="1"/>
    <x:xf numFmtId="0" fontId="5" fillId="6" borderId="5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6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202" fontId="8" fillId="3" borderId="6" xfId="0" applyNumberFormat="1" applyFont="1" applyFill="1" applyBorder="1" applyAlignment="1">
      <x:alignment vertical="top" wrapText="1"/>
    </x:xf>
    <x:xf numFmtId="202" fontId="8" fillId="3" borderId="7" xfId="0" applyNumberFormat="1" applyFont="1" applyFill="1" applyBorder="1" applyAlignment="1">
      <x:alignment vertical="top" wrapText="1"/>
    </x:xf>
    <x:xf numFmtId="202" fontId="8" fillId="3" borderId="8" xfId="0" applyNumberFormat="1" applyFont="1" applyFill="1" applyBorder="1" applyAlignment="1">
      <x:alignment vertical="top" wrapText="1"/>
    </x:xf>
    <x:xf numFmtId="202" fontId="8" fillId="3" borderId="6" xfId="0" applyNumberFormat="1" applyFont="1" applyFill="1" applyBorder="1" applyAlignment="1">
      <x:alignment horizontal="right" vertical="top" wrapText="1"/>
    </x:xf>
    <x:xf numFmtId="202" fontId="8" fillId="3" borderId="7" xfId="0" applyNumberFormat="1" applyFont="1" applyFill="1" applyBorder="1" applyAlignment="1">
      <x:alignment horizontal="right" vertical="top" wrapText="1"/>
    </x:xf>
    <x:xf numFmtId="202" fontId="8" fillId="3" borderId="8" xfId="0" applyNumberFormat="1" applyFont="1" applyFill="1" applyBorder="1" applyAlignment="1">
      <x:alignment horizontal="right"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9" fillId="6" borderId="2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9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9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10" fillId="8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95a7aea6c4e93" /><Relationship Type="http://schemas.openxmlformats.org/officeDocument/2006/relationships/theme" Target="/xl/theme/theme1.xml" Id="R076f0ef660bf4c06" /><Relationship Type="http://schemas.openxmlformats.org/officeDocument/2006/relationships/sharedStrings" Target="/xl/sharedStrings.xml" Id="R87fb5407867448cb" /><Relationship Type="http://schemas.openxmlformats.org/officeDocument/2006/relationships/worksheet" Target="/xl/worksheets/sheet1.xml" Id="R82043b02c2584a59" /><Relationship Type="http://schemas.openxmlformats.org/officeDocument/2006/relationships/worksheet" Target="/xl/worksheets/sheet2.xml" Id="R3db9ffc0ad5d46c0" /><Relationship Type="http://schemas.openxmlformats.org/officeDocument/2006/relationships/worksheet" Target="/xl/worksheets/sheet3.xml" Id="Rf2a6e25c62af4ca6" /><Relationship Type="http://schemas.openxmlformats.org/officeDocument/2006/relationships/worksheet" Target="/xl/worksheets/sheet4.xml" Id="R024aa0b731234686" /><Relationship Type="http://schemas.openxmlformats.org/officeDocument/2006/relationships/worksheet" Target="/xl/worksheets/sheet5.xml" Id="R79fb4b20fb5b4b5f" /><Relationship Type="http://schemas.microsoft.com/office/2017/10/relationships/person" Target="/xl/persons/person.xml" Id="R7be312d632204e54" /></Relationships>
</file>

<file path=xl/persons/person.xml><?xml version="1.0" encoding="utf-8"?>
<xltc:personList xmlns:xltc="http://schemas.microsoft.com/office/spreadsheetml/2018/threadedcomments">
  <xltc:person displayName="SkryPD" id="{16A009FD-83F1-4858-819A-EC0BF0E2550B}"/>
</xltc:personList>
</file>

<file path=xl/tables/table1.xml><?xml version="1.0" encoding="utf-8"?>
<x:table xmlns:x="http://schemas.openxmlformats.org/spreadsheetml/2006/main" id="2" name="ProcurementTable" displayName="ProcurementTable" ref="A5:W25" headerRowCount="1" totalsRowCount="0" totalsRowShown="0">
  <x:tableColumns count="23">
    <x:tableColumn id="1" name="价格分类编码"/>
    <x:tableColumn id="2" name="专业"/>
    <x:tableColumn id="3" name="使用部位"/>
    <x:tableColumn id="4" name="设计要求"/>
    <x:tableColumn id="5" name="建议规格"/>
    <x:tableColumn id="6" name="性能/检测"/>
    <x:tableColumn id="7" name="单位"/>
    <x:tableColumn id="8" name="工程量编码"/>
    <x:tableColumn id="9" name="净用量"/>
    <x:tableColumn id="10" name="损耗率"/>
    <x:tableColumn id="11" name="建议采购量"/>
    <x:tableColumn id="12" name="中档品牌/系列"/>
    <x:tableColumn id="13" name="中档单价低"/>
    <x:tableColumn id="14" name="中档单价高"/>
    <x:tableColumn id="15" name="中档合价低"/>
    <x:tableColumn id="16" name="中档合价高"/>
    <x:tableColumn id="17" name="经济品牌/系列"/>
    <x:tableColumn id="18" name="经济单价低"/>
    <x:tableColumn id="19" name="经济单价高"/>
    <x:tableColumn id="20" name="经济合价低"/>
    <x:tableColumn id="21" name="经济合价高"/>
    <x:tableColumn id="22" name="复核状态"/>
    <x:tableColumn id="23" name="询价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equirementsTable" displayName="RequirementsTable" ref="A4:G26" headerRowCount="1" totalsRowCount="0" totalsRowShown="0">
  <x:tableColumns count="7">
    <x:tableColumn id="1" name="专业"/>
    <x:tableColumn id="2" name="阶段"/>
    <x:tableColumn id="3" name="检查项目"/>
    <x:tableColumn id="4" name="要求"/>
    <x:tableColumn id="5" name="证据/文件"/>
    <x:tableColumn id="6" name="责任方"/>
    <x:tableColumn id="7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MarketSourcesTable" displayName="MarketSourcesTable" ref="A4:N40" headerRowCount="1" totalsRowCount="0" totalsRowShown="0">
  <x:tableColumns count="14">
    <x:tableColumn id="1" name="分类编码"/>
    <x:tableColumn id="2" name="档次"/>
    <x:tableColumn id="3" name="品牌/渠道"/>
    <x:tableColumn id="4" name="产品或等效要求"/>
    <x:tableColumn id="5" name="单位"/>
    <x:tableColumn id="6" name="单价下限"/>
    <x:tableColumn id="7" name="单价上限"/>
    <x:tableColumn id="8" name="来源URL"/>
    <x:tableColumn id="9" name="核实日期"/>
    <x:tableColumn id="10" name="价格口径"/>
    <x:tableColumn id="11" name="区域补货/售后"/>
    <x:tableColumn id="12" name="限制说明"/>
    <x:tableColumn id="13" name="查找键"/>
    <x:tableColumn id="14" name="查找序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8-30T12:40:32.484" personId="{16A009FD-83F1-4858-819A-EC0BF0E2550B}" id="{086BFE18-AE87-4480-8B20-02D9ED032A5F}">
    <xltc:text>剖面图显示池底至池沿完成面约850 mm；不得把它写成实际水深。</xltc:text>
  </xltc:threadedComment>
  <xltc:threadedComment ref="B9" dT="2026-08-30T12:40:32.485" personId="{16A009FD-83F1-4858-819A-EC0BF0E2550B}" id="{FA9F49B7-B6DE-4076-A376-C9FB8C05B927}">
    <xltc:text>池沿宽度是概算输入，必须以现场结构、排水和安全收口节点复尺。</xltc:text>
  </xltc:threadedComment>
  <xltc:threadedComment ref="B15" dT="2026-08-30T12:40:32.485" personId="{16A009FD-83F1-4858-819A-EC0BF0E2550B}" id="{76CF2803-CADE-49B0-8BE8-98860249032D}">
    <xltc:text>坐台与入池部位展开面积无法由现有剖面唯一确定，当前18 m²仅为预算占位。</xltc:text>
  </xltc:threadedComment>
  <xltc:threadedComment ref="B16" dT="2026-08-30T12:40:32.485" personId="{16A009FD-83F1-4858-819A-EC0BF0E2550B}" id="{C00701CA-044A-42DC-A5AC-BF0566442CF8}">
    <xltc:text>3200 mm为室内概念净高，不是现场施工尺寸。</xltc:text>
  </xltc:threadedComment>
  <xltc:threadedComment ref="B20" dT="2026-08-30T12:40:32.485" personId="{16A009FD-83F1-4858-819A-EC0BF0E2550B}" id="{0ADB587C-513B-4A16-9E62-72C777DCE10E}">
    <xltc:text>端景肌理墙面积为两处合计暂估，并已从普通墙砖中扣除。</xltc:text>
  </xltc:threadedComment>
  <xltc:threadedComment ref="B21" dT="2026-08-30T12:40:32.485" personId="{16A009FD-83F1-4858-819A-EC0BF0E2550B}" id="{831C5799-DED6-414B-A849-4F103E6E54D8}">
    <xltc:text>吊顶毛宽包含完整区域边界；实体墙和设备洞口需在复尺后扣减。</xltc:text>
  </xltc:threadedComment>
  <xltc:threadedComment ref="B23" dT="2026-08-30T12:40:32.485" personId="{16A009FD-83F1-4858-819A-EC0BF0E2550B}" id="{2347D0B8-BB0C-43A1-A346-599F69363240}">
    <xltc:text>木纹铝板只计算主吊顶面层的升级差价，经济方案取消该升级。</xltc:text>
  </xltc:threadedComment>
  <xltc:threadedComment ref="B24" dT="2026-08-30T12:40:32.485" personId="{16A009FD-83F1-4858-819A-EC0BF0E2550B}" id="{51047975-A5E6-4B2C-B385-9FE2B4426232}">
    <xltc:text>检修口位置和数量必须与新风、排风、除湿、消防和设备接口综合深化。</xltc:text>
  </xltc:threadedComment>
  <xltc:threadedComment ref="B25" dT="2026-08-30T12:40:32.485" personId="{16A009FD-83F1-4858-819A-EC0BF0E2550B}" id="{5C947E80-D4C6-4505-ADDE-3EDA02DA8956}">
    <xltc:text>筒灯数量、间距、功率和光束角须经照度计算确定。</xltc:text>
  </xltc:threadedComment>
  <xltc:threadedComment ref="B26" dT="2026-08-30T12:40:32.485" personId="{16A009FD-83F1-4858-819A-EC0BF0E2550B}" id="{282738F9-F844-488B-A354-0F6385A4B66C}">
    <xltc:text>灯带长度须根据吊顶灯槽深化图和回路分段复核。</xltc:text>
  </xltc:threadedComment>
  <xltc:threadedComment ref="B27" dT="2026-08-30T12:40:32.485" personId="{16A009FD-83F1-4858-819A-EC0BF0E2550B}" id="{53B49E25-01DD-4E31-9198-810110E2BD0D}">
    <xltc:text>洗墙灯必须通过样灯验证墙面均匀度和水面眩光。</xltc:text>
  </xltc:threadedComment>
  <xltc:threadedComment ref="B28" dT="2026-08-30T12:40:32.485" personId="{16A009FD-83F1-4858-819A-EC0BF0E2550B}" id="{AB5F06B1-0A13-4A96-8C99-411E45E47542}">
    <xltc:text>驱动数量取决于灯带瓦数、压降、回路和检修位置。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d0c9f7667945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7c28e1616448448c" /><Relationship Type="http://schemas.openxmlformats.org/officeDocument/2006/relationships/vmlDrawing" Target="/xl/drawings/vmldrawing.vml" Id="R745c004259944c6a" /><Relationship Type="http://schemas.microsoft.com/office/2017/10/relationships/threadedComment" Target="/xl/threadedcomments/threadedcomment.xml" Id="Rba7bd61ff6e649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7bb9d7c4daa46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ecd5abc3da245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2" hidden="0" customWidth="1"/>
  </x:cols>
  <x:sheetData>
    <x:row r="1" ht="34" customHeight="1">
      <x:c r="A1" s="4" t="str">
        <x:v>汤泉 B 方案｜采购询价与造价汇总</x:v>
      </x:c>
      <x:c r="B1" s="4" t="str">
        <x:v>汤泉 B 方案｜采购询价与造价汇总</x:v>
      </x:c>
      <x:c r="C1" s="4" t="str">
        <x:v>汤泉 B 方案｜采购询价与造价汇总</x:v>
      </x:c>
      <x:c r="D1" s="4" t="str">
        <x:v>汤泉 B 方案｜采购询价与造价汇总</x:v>
      </x:c>
      <x:c r="E1" s="4" t="str">
        <x:v>汤泉 B 方案｜采购询价与造价汇总</x:v>
      </x:c>
      <x:c r="F1" s="4" t="str">
        <x:v>汤泉 B 方案｜采购询价与造价汇总</x:v>
      </x:c>
    </x:row>
    <x:row r="2" ht="34" customHeight="1">
      <x:c r="A2" s="9" t="str">
        <x:v>项目地点：广东省清远市英德市黄花镇｜价格基准：2026-08-30｜本表为预算询价草案，不是施工图、清单计价成果或直接下单文件。</x:v>
      </x:c>
      <x:c r="B2" s="9" t="str">
        <x:v>项目地点：广东省清远市英德市黄花镇｜价格基准：2026-08-30｜本表为预算询价草案，不是施工图、清单计价成果或直接下单文件。</x:v>
      </x:c>
      <x:c r="C2" s="9" t="str">
        <x:v>项目地点：广东省清远市英德市黄花镇｜价格基准：2026-08-30｜本表为预算询价草案，不是施工图、清单计价成果或直接下单文件。</x:v>
      </x:c>
      <x:c r="D2" s="9" t="str">
        <x:v>项目地点：广东省清远市英德市黄花镇｜价格基准：2026-08-30｜本表为预算询价草案，不是施工图、清单计价成果或直接下单文件。</x:v>
      </x:c>
      <x:c r="E2" s="9" t="str">
        <x:v>项目地点：广东省清远市英德市黄花镇｜价格基准：2026-08-30｜本表为预算询价草案，不是施工图、清单计价成果或直接下单文件。</x:v>
      </x:c>
      <x:c r="F2" s="9" t="str">
        <x:v>项目地点：广东省清远市英德市黄花镇｜价格基准：2026-08-30｜本表为预算询价草案，不是施工图、清单计价成果或直接下单文件。</x:v>
      </x:c>
    </x:row>
    <x:row r="4">
      <x:c r="A4" s="40" t="str">
        <x:v>四档总价概览</x:v>
      </x:c>
      <x:c r="B4" s="41"/>
      <x:c r="C4" s="41"/>
      <x:c r="D4" s="41"/>
      <x:c r="E4" s="41"/>
      <x:c r="F4" s="42"/>
    </x:row>
    <x:row r="6" ht="34" customHeight="1">
      <x:c r="A6" s="15" t="str">
        <x:v>口径</x:v>
      </x:c>
      <x:c r="B6" s="15" t="str">
        <x:v>中档低值</x:v>
      </x:c>
      <x:c r="C6" s="15" t="str">
        <x:v>中档高值</x:v>
      </x:c>
      <x:c r="D6" s="15" t="str">
        <x:v>经济低值</x:v>
      </x:c>
      <x:c r="E6" s="15" t="str">
        <x:v>经济高值</x:v>
      </x:c>
    </x:row>
    <x:row r="7">
      <x:c r="A7" s="21" t="str">
        <x:v>材料+安装参考</x:v>
      </x:c>
      <x:c r="B7" s="61" t="n">
        <x:f>ROUND(SUM('02_采购询价主表'!$O$6:$O$25),0)</x:f>
        <x:v>187072</x:v>
      </x:c>
      <x:c r="C7" s="62" t="n">
        <x:f>ROUND(SUM('02_采购询价主表'!$P$6:$P$25),0)</x:f>
        <x:v>333679</x:v>
      </x:c>
      <x:c r="D7" s="62" t="n">
        <x:f>ROUND(SUM('02_采购询价主表'!$T$6:$T$25),0)</x:f>
        <x:v>94849</x:v>
      </x:c>
      <x:c r="E7" s="63" t="n">
        <x:f>ROUND(SUM('02_采购询价主表'!$U$6:$U$25),0)</x:f>
        <x:v>167872</x:v>
      </x:c>
    </x:row>
    <x:row r="10" ht="34" customHeight="1">
      <x:c r="A10" s="15" t="str">
        <x:v>专业分项</x:v>
      </x:c>
      <x:c r="B10" s="15" t="str">
        <x:v>中档低值</x:v>
      </x:c>
      <x:c r="C10" s="15" t="str">
        <x:v>中档高值</x:v>
      </x:c>
      <x:c r="D10" s="15" t="str">
        <x:v>经济低值</x:v>
      </x:c>
      <x:c r="E10" s="15" t="str">
        <x:v>经济高值</x:v>
      </x:c>
    </x:row>
    <x:row r="11">
      <x:c r="A11" s="21" t="str">
        <x:v>瓷砖</x:v>
      </x:c>
      <x:c r="B11" s="43" t="n">
        <x:f>ROUND(SUMIFS('02_采购询价主表'!$O$6:$O$25,'02_采购询价主表'!$B$6:$B$25,A11),0)</x:f>
        <x:v>73439</x:v>
      </x:c>
      <x:c r="C11" s="43" t="n">
        <x:f>ROUND(SUMIFS('02_采购询价主表'!$P$6:$P$25,'02_采购询价主表'!$B$6:$B$25,A11),0)</x:f>
        <x:v>132110</x:v>
      </x:c>
      <x:c r="D11" s="43" t="n">
        <x:f>ROUND(SUMIFS('02_采购询价主表'!$T$6:$T$25,'02_采购询价主表'!$B$6:$B$25,A11),0)</x:f>
        <x:v>39736</x:v>
      </x:c>
      <x:c r="E11" s="43" t="n">
        <x:f>ROUND(SUMIFS('02_采购询价主表'!$U$6:$U$25,'02_采购询价主表'!$B$6:$B$25,A11),0)</x:f>
        <x:v>73439</x:v>
      </x:c>
    </x:row>
    <x:row r="12">
      <x:c r="A12" s="22" t="str">
        <x:v>吊顶</x:v>
      </x:c>
      <x:c r="B12" s="44" t="n">
        <x:f>ROUND(SUMIFS('02_采购询价主表'!$O$6:$O$25,'02_采购询价主表'!$B$6:$B$25,A12),0)</x:f>
        <x:v>61058</x:v>
      </x:c>
      <x:c r="C12" s="44" t="n">
        <x:f>ROUND(SUMIFS('02_采购询价主表'!$P$6:$P$25,'02_采购询价主表'!$B$6:$B$25,A12),0)</x:f>
        <x:v>113599</x:v>
      </x:c>
      <x:c r="D12" s="44" t="n">
        <x:f>ROUND(SUMIFS('02_采购询价主表'!$T$6:$T$25,'02_采购询价主表'!$B$6:$B$25,A12),0)</x:f>
        <x:v>22941</x:v>
      </x:c>
      <x:c r="E12" s="44" t="n">
        <x:f>ROUND(SUMIFS('02_采购询价主表'!$U$6:$U$25,'02_采购询价主表'!$B$6:$B$25,A12),0)</x:f>
        <x:v>41678</x:v>
      </x:c>
    </x:row>
    <x:row r="13">
      <x:c r="A13" s="22" t="str">
        <x:v>灯具</x:v>
      </x:c>
      <x:c r="B13" s="44" t="n">
        <x:f>ROUND(SUMIFS('02_采购询价主表'!$O$6:$O$25,'02_采购询价主表'!$B$6:$B$25,A13),0)</x:f>
        <x:v>7396</x:v>
      </x:c>
      <x:c r="C13" s="44" t="n">
        <x:f>ROUND(SUMIFS('02_采购询价主表'!$P$6:$P$25,'02_采购询价主表'!$B$6:$B$25,A13),0)</x:f>
        <x:v>14064</x:v>
      </x:c>
      <x:c r="D13" s="44" t="n">
        <x:f>ROUND(SUMIFS('02_采购询价主表'!$T$6:$T$25,'02_采购询价主表'!$B$6:$B$25,A13),0)</x:f>
        <x:v>4106</x:v>
      </x:c>
      <x:c r="E13" s="44" t="n">
        <x:f>ROUND(SUMIFS('02_采购询价主表'!$U$6:$U$25,'02_采购询价主表'!$B$6:$B$25,A13),0)</x:f>
        <x:v>7396</x:v>
      </x:c>
    </x:row>
    <x:row r="14">
      <x:c r="A14" s="22" t="str">
        <x:v>安装费</x:v>
      </x:c>
      <x:c r="B14" s="44" t="n">
        <x:f>ROUND(SUMIFS('02_采购询价主表'!$O$6:$O$25,'02_采购询价主表'!$B$6:$B$25,A14),0)</x:f>
        <x:v>45180</x:v>
      </x:c>
      <x:c r="C14" s="44" t="n">
        <x:f>ROUND(SUMIFS('02_采购询价主表'!$P$6:$P$25,'02_采购询价主表'!$B$6:$B$25,A14),0)</x:f>
        <x:v>73905</x:v>
      </x:c>
      <x:c r="D14" s="44" t="n">
        <x:f>ROUND(SUMIFS('02_采购询价主表'!$T$6:$T$25,'02_采购询价主表'!$B$6:$B$25,A14),0)</x:f>
        <x:v>28066</x:v>
      </x:c>
      <x:c r="E14" s="44" t="n">
        <x:f>ROUND(SUMIFS('02_采购询价主表'!$U$6:$U$25,'02_采购询价主表'!$B$6:$B$25,A14),0)</x:f>
        <x:v>45360</x:v>
      </x:c>
    </x:row>
    <x:row r="16">
      <x:c r="A16" s="40" t="str">
        <x:v>采购属性分项</x:v>
      </x:c>
      <x:c r="B16" s="41"/>
      <x:c r="C16" s="41"/>
      <x:c r="D16" s="41"/>
      <x:c r="E16" s="41"/>
      <x:c r="F16" s="42"/>
    </x:row>
    <x:row r="18" ht="34" customHeight="1">
      <x:c r="A18" s="15" t="str">
        <x:v>采购属性</x:v>
      </x:c>
      <x:c r="B18" s="15" t="str">
        <x:v>中档低值</x:v>
      </x:c>
      <x:c r="C18" s="15" t="str">
        <x:v>中档高值</x:v>
      </x:c>
      <x:c r="D18" s="15" t="str">
        <x:v>经济低值</x:v>
      </x:c>
      <x:c r="E18" s="15" t="str">
        <x:v>经济高值</x:v>
      </x:c>
    </x:row>
    <x:row r="19">
      <x:c r="A19" s="21" t="str">
        <x:v>主材</x:v>
      </x:c>
      <x:c r="B19" s="43" t="n">
        <x:f>ROUND(SUM('02_采购询价主表'!$O$6:$O$15),0)</x:f>
        <x:v>130873</x:v>
      </x:c>
      <x:c r="C19" s="43" t="n">
        <x:f>ROUND(SUM('02_采购询价主表'!$P$6:$P$15),0)</x:f>
        <x:v>238522</x:v>
      </x:c>
      <x:c r="D19" s="43" t="n">
        <x:f>ROUND(SUM('02_采购询价主表'!$T$6:$T$15),0)</x:f>
        <x:v>60877</x:v>
      </x:c>
      <x:c r="E19" s="43" t="n">
        <x:f>ROUND(SUM('02_采购询价主表'!$U$6:$U$15),0)</x:f>
        <x:v>111493</x:v>
      </x:c>
    </x:row>
    <x:row r="20">
      <x:c r="A20" s="22" t="str">
        <x:v>配套件</x:v>
      </x:c>
      <x:c r="B20" s="44" t="n">
        <x:f>ROUND(SUM('02_采购询价主表'!$O$16:$O$21),0)</x:f>
        <x:v>11020</x:v>
      </x:c>
      <x:c r="C20" s="44" t="n">
        <x:f>ROUND(SUM('02_采购询价主表'!$P$16:$P$21),0)</x:f>
        <x:v>21252</x:v>
      </x:c>
      <x:c r="D20" s="44" t="n">
        <x:f>ROUND(SUM('02_采购询价主表'!$T$16:$T$21),0)</x:f>
        <x:v>5906</x:v>
      </x:c>
      <x:c r="E20" s="44" t="n">
        <x:f>ROUND(SUM('02_采购询价主表'!$U$16:$U$21),0)</x:f>
        <x:v>11020</x:v>
      </x:c>
    </x:row>
    <x:row r="21">
      <x:c r="A21" s="22" t="str">
        <x:v>安装费</x:v>
      </x:c>
      <x:c r="B21" s="44" t="n">
        <x:f>ROUND(SUM('02_采购询价主表'!$O$22:$O$25),0)</x:f>
        <x:v>45180</x:v>
      </x:c>
      <x:c r="C21" s="44" t="n">
        <x:f>ROUND(SUM('02_采购询价主表'!$P$22:$P$25),0)</x:f>
        <x:v>73905</x:v>
      </x:c>
      <x:c r="D21" s="44" t="n">
        <x:f>ROUND(SUM('02_采购询价主表'!$T$22:$T$25),0)</x:f>
        <x:v>28066</x:v>
      </x:c>
      <x:c r="E21" s="44" t="n">
        <x:f>ROUND(SUM('02_采购询价主表'!$U$22:$U$25),0)</x:f>
        <x:v>45360</x:v>
      </x:c>
    </x:row>
    <x:row r="24">
      <x:c r="A24" s="40" t="str">
        <x:v>使用说明与未计入风险</x:v>
      </x:c>
      <x:c r="B24" s="41"/>
      <x:c r="C24" s="41"/>
      <x:c r="D24" s="41"/>
      <x:c r="E24" s="41"/>
      <x:c r="F24" s="42"/>
    </x:row>
    <x:row r="25">
      <x:c r="A25" s="66" t="str">
        <x:v>数量状态</x:v>
      </x:c>
      <x:c r="B25" s="21" t="str">
        <x:v>图纸暂估。复尺后只修改“03_工程量依据”的黄色输入格，主表与汇总公式会联动更新。</x:v>
      </x:c>
      <x:c r="C25" s="21"/>
      <x:c r="D25" s="21"/>
      <x:c r="E25" s="21"/>
      <x:c r="F25" s="21"/>
    </x:row>
    <x:row r="26">
      <x:c r="A26" s="67" t="str">
        <x:v>价格状态</x:v>
      </x:c>
      <x:c r="B26" s="22" t="str">
        <x:v>广东区域公开/市场参考区间，仅供统一询价比较；最终以供应商书面报价、样板和检测资料为准。</x:v>
      </x:c>
      <x:c r="C26" s="22"/>
      <x:c r="D26" s="22"/>
      <x:c r="E26" s="22"/>
      <x:c r="F26" s="22"/>
    </x:row>
    <x:row r="27">
      <x:c r="A27" s="67" t="str">
        <x:v>税运状态</x:v>
      </x:c>
      <x:c r="B27" s="22" t="str">
        <x:v>来源口径不完全一致；正式询价须统一填报是否含税、含运至英德黄花镇、卸货、加工和最低起订量。</x:v>
      </x:c>
      <x:c r="C27" s="22"/>
      <x:c r="D27" s="22"/>
      <x:c r="E27" s="22"/>
      <x:c r="F27" s="22"/>
    </x:row>
    <x:row r="28">
      <x:c r="A28" s="67" t="str">
        <x:v>排除项目</x:v>
      </x:c>
      <x:c r="B28" s="22" t="str">
        <x:v>不含防水、找坡找平、保护层、瓷砖胶、美缝/填缝、给排水、循环水、电气线路、配电、除湿新风和消防。</x:v>
      </x:c>
      <x:c r="C28" s="22"/>
      <x:c r="D28" s="22"/>
      <x:c r="E28" s="22"/>
      <x:c r="F28" s="22"/>
    </x:row>
    <x:row r="29">
      <x:c r="A29" s="67" t="str">
        <x:v>重要提醒</x:v>
      </x:c>
      <x:c r="B29" s="22" t="str">
        <x:v>湿态防滑、IP、照度、防结露、消防、无障碍和材料燃烧性能均需专业复核，不得依据AI效果图直接下单。</x:v>
      </x:c>
      <x:c r="C29" s="22"/>
      <x:c r="D29" s="22"/>
      <x:c r="E29" s="22"/>
      <x:c r="F29" s="22"/>
    </x:row>
    <x:row r="32" ht="36" customHeight="1">
      <x:c r="A32" s="76" t="str">
        <x:v>推荐使用流程：复尺 → 更新黄色输入 → 材料商按同口径回填税运和型号 → 样板/检测审核 → 照度及节点深化 → 再形成正式订货单。</x:v>
      </x:c>
      <x:c r="B32" s="77"/>
      <x:c r="C32" s="77"/>
      <x:c r="D32" s="77"/>
      <x:c r="E32" s="77"/>
      <x:c r="F32" s="78"/>
    </x:row>
  </x:sheetData>
  <x:mergeCells>
    <x:mergeCell ref="A1:F1"/>
    <x:mergeCell ref="A2:F2"/>
    <x:mergeCell ref="A4:F4"/>
    <x:mergeCell ref="A16:F16"/>
    <x:mergeCell ref="A24:F24"/>
    <x:mergeCell ref="B25:F25"/>
    <x:mergeCell ref="B26:F26"/>
    <x:mergeCell ref="B27:F27"/>
    <x:mergeCell ref="B28:F28"/>
    <x:mergeCell ref="B29:F29"/>
    <x:mergeCell ref="A32:F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22" hidden="0" customWidth="1"/>
    <x:col min="4" max="4" width="28" hidden="0" customWidth="1"/>
    <x:col min="5" max="5" width="23" hidden="0" customWidth="1"/>
    <x:col min="6" max="6" width="38" hidden="0" customWidth="1"/>
    <x:col min="7" max="7" width="8" hidden="0" customWidth="1"/>
    <x:col min="8" max="8" width="22" hidden="0" customWidth="1"/>
    <x:col min="9" max="9" width="12" hidden="0" customWidth="1"/>
    <x:col min="10" max="10" width="10" hidden="0" customWidth="1"/>
    <x:col min="11" max="11" width="13" hidden="0" customWidth="1"/>
    <x:col min="12" max="12" width="4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4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  <x:col min="23" max="23" width="42" hidden="0" customWidth="1"/>
  </x:cols>
  <x:sheetData>
    <x:row r="1" ht="34" customHeight="1">
      <x:c r="A1" s="4" t="str">
        <x:v>汤泉 B 方案｜瓷砖、吊顶与灯具采购询价主表</x:v>
      </x:c>
      <x:c r="B1" s="4" t="str">
        <x:v>汤泉 B 方案｜瓷砖、吊顶与灯具采购询价主表</x:v>
      </x:c>
      <x:c r="C1" s="4" t="str">
        <x:v>汤泉 B 方案｜瓷砖、吊顶与灯具采购询价主表</x:v>
      </x:c>
      <x:c r="D1" s="4" t="str">
        <x:v>汤泉 B 方案｜瓷砖、吊顶与灯具采购询价主表</x:v>
      </x:c>
      <x:c r="E1" s="4" t="str">
        <x:v>汤泉 B 方案｜瓷砖、吊顶与灯具采购询价主表</x:v>
      </x:c>
      <x:c r="F1" s="4" t="str">
        <x:v>汤泉 B 方案｜瓷砖、吊顶与灯具采购询价主表</x:v>
      </x:c>
      <x:c r="G1" s="4" t="str">
        <x:v>汤泉 B 方案｜瓷砖、吊顶与灯具采购询价主表</x:v>
      </x:c>
      <x:c r="H1" s="4" t="str">
        <x:v>汤泉 B 方案｜瓷砖、吊顶与灯具采购询价主表</x:v>
      </x:c>
      <x:c r="I1" s="4" t="str">
        <x:v>汤泉 B 方案｜瓷砖、吊顶与灯具采购询价主表</x:v>
      </x:c>
      <x:c r="J1" s="4" t="str">
        <x:v>汤泉 B 方案｜瓷砖、吊顶与灯具采购询价主表</x:v>
      </x:c>
      <x:c r="K1" s="4" t="str">
        <x:v>汤泉 B 方案｜瓷砖、吊顶与灯具采购询价主表</x:v>
      </x:c>
      <x:c r="L1" s="4" t="str">
        <x:v>汤泉 B 方案｜瓷砖、吊顶与灯具采购询价主表</x:v>
      </x:c>
      <x:c r="M1" s="4" t="str">
        <x:v>汤泉 B 方案｜瓷砖、吊顶与灯具采购询价主表</x:v>
      </x:c>
      <x:c r="N1" s="4" t="str">
        <x:v>汤泉 B 方案｜瓷砖、吊顶与灯具采购询价主表</x:v>
      </x:c>
      <x:c r="O1" s="4" t="str">
        <x:v>汤泉 B 方案｜瓷砖、吊顶与灯具采购询价主表</x:v>
      </x:c>
      <x:c r="P1" s="4" t="str">
        <x:v>汤泉 B 方案｜瓷砖、吊顶与灯具采购询价主表</x:v>
      </x:c>
      <x:c r="Q1" s="4" t="str">
        <x:v>汤泉 B 方案｜瓷砖、吊顶与灯具采购询价主表</x:v>
      </x:c>
      <x:c r="R1" s="4" t="str">
        <x:v>汤泉 B 方案｜瓷砖、吊顶与灯具采购询价主表</x:v>
      </x:c>
      <x:c r="S1" s="4" t="str">
        <x:v>汤泉 B 方案｜瓷砖、吊顶与灯具采购询价主表</x:v>
      </x:c>
      <x:c r="T1" s="4" t="str">
        <x:v>汤泉 B 方案｜瓷砖、吊顶与灯具采购询价主表</x:v>
      </x:c>
      <x:c r="U1" s="4" t="str">
        <x:v>汤泉 B 方案｜瓷砖、吊顶与灯具采购询价主表</x:v>
      </x:c>
      <x:c r="V1" s="4" t="str">
        <x:v>汤泉 B 方案｜瓷砖、吊顶与灯具采购询价主表</x:v>
      </x:c>
      <x:c r="W1" s="4" t="str">
        <x:v>汤泉 B 方案｜瓷砖、吊顶与灯具采购询价主表</x:v>
      </x:c>
    </x:row>
    <x:row r="2" ht="34" customHeight="1">
      <x:c r="A2" s="9" t="str">
        <x:v>中档耐用型为推荐主选，经济实用型为降本备选。净用量、损耗、采购量、单价和合价分列；黄色损耗率可在复尺后调整。</x:v>
      </x:c>
      <x:c r="B2" s="9" t="str">
        <x:v>中档耐用型为推荐主选，经济实用型为降本备选。净用量、损耗、采购量、单价和合价分列；黄色损耗率可在复尺后调整。</x:v>
      </x:c>
      <x:c r="C2" s="9" t="str">
        <x:v>中档耐用型为推荐主选，经济实用型为降本备选。净用量、损耗、采购量、单价和合价分列；黄色损耗率可在复尺后调整。</x:v>
      </x:c>
      <x:c r="D2" s="9" t="str">
        <x:v>中档耐用型为推荐主选，经济实用型为降本备选。净用量、损耗、采购量、单价和合价分列；黄色损耗率可在复尺后调整。</x:v>
      </x:c>
      <x:c r="E2" s="9" t="str">
        <x:v>中档耐用型为推荐主选，经济实用型为降本备选。净用量、损耗、采购量、单价和合价分列；黄色损耗率可在复尺后调整。</x:v>
      </x:c>
      <x:c r="F2" s="9" t="str">
        <x:v>中档耐用型为推荐主选，经济实用型为降本备选。净用量、损耗、采购量、单价和合价分列；黄色损耗率可在复尺后调整。</x:v>
      </x:c>
      <x:c r="G2" s="9" t="str">
        <x:v>中档耐用型为推荐主选，经济实用型为降本备选。净用量、损耗、采购量、单价和合价分列；黄色损耗率可在复尺后调整。</x:v>
      </x:c>
      <x:c r="H2" s="9" t="str">
        <x:v>中档耐用型为推荐主选，经济实用型为降本备选。净用量、损耗、采购量、单价和合价分列；黄色损耗率可在复尺后调整。</x:v>
      </x:c>
      <x:c r="I2" s="9" t="str">
        <x:v>中档耐用型为推荐主选，经济实用型为降本备选。净用量、损耗、采购量、单价和合价分列；黄色损耗率可在复尺后调整。</x:v>
      </x:c>
      <x:c r="J2" s="9" t="str">
        <x:v>中档耐用型为推荐主选，经济实用型为降本备选。净用量、损耗、采购量、单价和合价分列；黄色损耗率可在复尺后调整。</x:v>
      </x:c>
      <x:c r="K2" s="9" t="str">
        <x:v>中档耐用型为推荐主选，经济实用型为降本备选。净用量、损耗、采购量、单价和合价分列；黄色损耗率可在复尺后调整。</x:v>
      </x:c>
      <x:c r="L2" s="9" t="str">
        <x:v>中档耐用型为推荐主选，经济实用型为降本备选。净用量、损耗、采购量、单价和合价分列；黄色损耗率可在复尺后调整。</x:v>
      </x:c>
      <x:c r="M2" s="9" t="str">
        <x:v>中档耐用型为推荐主选，经济实用型为降本备选。净用量、损耗、采购量、单价和合价分列；黄色损耗率可在复尺后调整。</x:v>
      </x:c>
      <x:c r="N2" s="9" t="str">
        <x:v>中档耐用型为推荐主选，经济实用型为降本备选。净用量、损耗、采购量、单价和合价分列；黄色损耗率可在复尺后调整。</x:v>
      </x:c>
      <x:c r="O2" s="9" t="str">
        <x:v>中档耐用型为推荐主选，经济实用型为降本备选。净用量、损耗、采购量、单价和合价分列；黄色损耗率可在复尺后调整。</x:v>
      </x:c>
      <x:c r="P2" s="9" t="str">
        <x:v>中档耐用型为推荐主选，经济实用型为降本备选。净用量、损耗、采购量、单价和合价分列；黄色损耗率可在复尺后调整。</x:v>
      </x:c>
      <x:c r="Q2" s="9" t="str">
        <x:v>中档耐用型为推荐主选，经济实用型为降本备选。净用量、损耗、采购量、单价和合价分列；黄色损耗率可在复尺后调整。</x:v>
      </x:c>
      <x:c r="R2" s="9" t="str">
        <x:v>中档耐用型为推荐主选，经济实用型为降本备选。净用量、损耗、采购量、单价和合价分列；黄色损耗率可在复尺后调整。</x:v>
      </x:c>
      <x:c r="S2" s="9" t="str">
        <x:v>中档耐用型为推荐主选，经济实用型为降本备选。净用量、损耗、采购量、单价和合价分列；黄色损耗率可在复尺后调整。</x:v>
      </x:c>
      <x:c r="T2" s="9" t="str">
        <x:v>中档耐用型为推荐主选，经济实用型为降本备选。净用量、损耗、采购量、单价和合价分列；黄色损耗率可在复尺后调整。</x:v>
      </x:c>
      <x:c r="U2" s="9" t="str">
        <x:v>中档耐用型为推荐主选，经济实用型为降本备选。净用量、损耗、采购量、单价和合价分列；黄色损耗率可在复尺后调整。</x:v>
      </x:c>
      <x:c r="V2" s="9" t="str">
        <x:v>中档耐用型为推荐主选，经济实用型为降本备选。净用量、损耗、采购量、单价和合价分列；黄色损耗率可在复尺后调整。</x:v>
      </x:c>
      <x:c r="W2" s="9" t="str">
        <x:v>中档耐用型为推荐主选，经济实用型为降本备选。净用量、损耗、采购量、单价和合价分列；黄色损耗率可在复尺后调整。</x:v>
      </x:c>
    </x:row>
    <x:row r="3" ht="30" customHeight="1">
      <x:c r="A3" s="50" t="str">
        <x:v>计价不含：防水、找坡找平、保护层、瓷砖胶、美缝/填缝、给排水/循环水、电线线管、配电、新风排风除湿和消防。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5" ht="34" customHeight="1">
      <x:c r="A5" s="15" t="str">
        <x:v>价格分类编码</x:v>
      </x:c>
      <x:c r="B5" s="15" t="str">
        <x:v>专业</x:v>
      </x:c>
      <x:c r="C5" s="15" t="str">
        <x:v>使用部位</x:v>
      </x:c>
      <x:c r="D5" s="15" t="str">
        <x:v>设计要求</x:v>
      </x:c>
      <x:c r="E5" s="15" t="str">
        <x:v>建议规格</x:v>
      </x:c>
      <x:c r="F5" s="15" t="str">
        <x:v>性能/检测</x:v>
      </x:c>
      <x:c r="G5" s="15" t="str">
        <x:v>单位</x:v>
      </x:c>
      <x:c r="H5" s="15" t="str">
        <x:v>工程量编码</x:v>
      </x:c>
      <x:c r="I5" s="15" t="str">
        <x:v>净用量</x:v>
      </x:c>
      <x:c r="J5" s="15" t="str">
        <x:v>损耗率</x:v>
      </x:c>
      <x:c r="K5" s="15" t="str">
        <x:v>建议采购量</x:v>
      </x:c>
      <x:c r="L5" s="15" t="str">
        <x:v>中档品牌/系列</x:v>
      </x:c>
      <x:c r="M5" s="15" t="str">
        <x:v>中档单价低</x:v>
      </x:c>
      <x:c r="N5" s="15" t="str">
        <x:v>中档单价高</x:v>
      </x:c>
      <x:c r="O5" s="15" t="str">
        <x:v>中档合价低</x:v>
      </x:c>
      <x:c r="P5" s="15" t="str">
        <x:v>中档合价高</x:v>
      </x:c>
      <x:c r="Q5" s="15" t="str">
        <x:v>经济品牌/系列</x:v>
      </x:c>
      <x:c r="R5" s="15" t="str">
        <x:v>经济单价低</x:v>
      </x:c>
      <x:c r="S5" s="15" t="str">
        <x:v>经济单价高</x:v>
      </x:c>
      <x:c r="T5" s="15" t="str">
        <x:v>经济合价低</x:v>
      </x:c>
      <x:c r="U5" s="15" t="str">
        <x:v>经济合价高</x:v>
      </x:c>
      <x:c r="V5" s="15" t="str">
        <x:v>复核状态</x:v>
      </x:c>
      <x:c r="W5" s="15" t="str">
        <x:v>询价备注</x:v>
      </x:c>
    </x:row>
    <x:row r="6">
      <x:c r="A6" s="21" t="str">
        <x:v>pool_floor_tile</x:v>
      </x:c>
      <x:c r="B6" s="21" t="str">
        <x:v>瓷砖</x:v>
      </x:c>
      <x:c r="C6" s="21" t="str">
        <x:v>汤池池底</x:v>
      </x:c>
      <x:c r="D6" s="21" t="str">
        <x:v>浅冷灰、细颗粒、哑光</x:v>
      </x:c>
      <x:c r="E6" s="21" t="str">
        <x:v>150×150 mm</x:v>
      </x:c>
      <x:c r="F6" s="21" t="str">
        <x:v>瓷质砖吸水率建议≤0.5%；湿态防滑检测</x:v>
      </x:c>
      <x:c r="G6" s="21" t="str">
        <x:v>m²</x:v>
      </x:c>
      <x:c r="H6" s="21" t="str">
        <x:v>Q_POOL_BOTTOM</x:v>
      </x:c>
      <x:c r="I6" s="51" t="n">
        <x:f>IFERROR(INDEX('03_工程量依据'!$G$5:$G$22,MATCH(H6,'03_工程量依据'!$F$5:$F$22,0)),0)</x:f>
        <x:v>69.3664</x:v>
      </x:c>
      <x:c r="J6" s="53" t="n">
        <x:v>0.1</x:v>
      </x:c>
      <x:c r="K6" s="51" t="n">
        <x:f>IF(OR(G6="套",G6="座",G6="个"),ROUNDUP(I6*(1+J6),0),ROUNDUP(I6*(1+J6),2))</x:f>
        <x:v>76.31</x:v>
      </x:c>
      <x:c r="L6" s="21" t="str">
        <x:f>IFERROR(INDEX('05_品牌价格来源'!$C$5:$C$40,SUMIFS('05_品牌价格来源'!$N$5:$N$40,'05_品牌价格来源'!$M$5:$M$40,A6&amp;"|mid"))&amp;"｜"&amp;INDEX('05_品牌价格来源'!$D$5:$D$40,SUMIFS('05_品牌价格来源'!$N$5:$N$40,'05_品牌价格来源'!$M$5:$M$40,A6&amp;"|mid")),"")</x:f>
        <x:v>唯格 VIEWGRES｜150×150 mm 定制浅冷灰小规格泳池/湿区瓷质砖，湿态防滑检测合格</x:v>
      </x:c>
      <x:c r="M6" s="43" t="n">
        <x:f>SUMIFS('05_品牌价格来源'!$F$5:$F$40,'05_品牌价格来源'!$M$5:$M$40,A6&amp;"|mid")</x:f>
        <x:v>150</x:v>
      </x:c>
      <x:c r="N6" s="43" t="n">
        <x:f>SUMIFS('05_品牌价格来源'!$G$5:$G$40,'05_品牌价格来源'!$M$5:$M$40,A6&amp;"|mid")</x:f>
        <x:v>260</x:v>
      </x:c>
      <x:c r="O6" s="43" t="n">
        <x:f>ROUND(K6*M6,2)</x:f>
        <x:v>11446.5</x:v>
      </x:c>
      <x:c r="P6" s="43" t="n">
        <x:f>ROUND(K6*N6,2)</x:f>
        <x:v>19840.6</x:v>
      </x:c>
      <x:c r="Q6" s="43" t="str">
        <x:f>IFERROR(INDEX('05_品牌价格来源'!$C$5:$C$40,SUMIFS('05_品牌价格来源'!$N$5:$N$40,'05_品牌价格来源'!$M$5:$M$40,A6&amp;"|economy"))&amp;"｜"&amp;INDEX('05_品牌价格来源'!$D$5:$D$40,SUMIFS('05_品牌价格来源'!$N$5:$N$40,'05_品牌价格来源'!$M$5:$M$40,A6&amp;"|economy")),"")</x:f>
        <x:v>佛山正规泳池砖厂家（等效）｜150×150 mm 浅冷灰小规格瓷质防滑砖，性能不得低于主表要求</x:v>
      </x:c>
      <x:c r="R6" s="43" t="n">
        <x:f>SUMIFS('05_品牌价格来源'!$F$5:$F$40,'05_品牌价格来源'!$M$5:$M$40,A6&amp;"|economy")</x:f>
        <x:v>80</x:v>
      </x:c>
      <x:c r="S6" s="43" t="n">
        <x:f>SUMIFS('05_品牌价格来源'!$G$5:$G$40,'05_品牌价格来源'!$M$5:$M$40,A6&amp;"|economy")</x:f>
        <x:v>150</x:v>
      </x:c>
      <x:c r="T6" s="43" t="n">
        <x:f>ROUND(K6*R6,2)</x:f>
        <x:v>6104.8</x:v>
      </x:c>
      <x:c r="U6" s="43" t="n">
        <x:f>ROUND(K6*S6,2)</x:f>
        <x:v>11446.5</x:v>
      </x:c>
      <x:c r="V6" s="21" t="str">
        <x:v>图纸计算</x:v>
      </x:c>
      <x:c r="W6" s="21" t="str">
        <x:v>同批次；小规格便于找坡</x:v>
      </x:c>
    </x:row>
    <x:row r="7">
      <x:c r="A7" s="22" t="str">
        <x:v>pool_wall_tile</x:v>
      </x:c>
      <x:c r="B7" s="22" t="str">
        <x:v>瓷砖</x:v>
      </x:c>
      <x:c r="C7" s="22" t="str">
        <x:v>汤池池壁</x:v>
      </x:c>
      <x:c r="D7" s="22" t="str">
        <x:v>浅灰米白、低纹理、哑光</x:v>
      </x:c>
      <x:c r="E7" s="22" t="str">
        <x:v>300×600 mm</x:v>
      </x:c>
      <x:c r="F7" s="22" t="str">
        <x:v>低吸水率、耐温差、耐清洁剂</x:v>
      </x:c>
      <x:c r="G7" s="22" t="str">
        <x:v>m²</x:v>
      </x:c>
      <x:c r="H7" s="22" t="str">
        <x:v>Q_POOL_WALL</x:v>
      </x:c>
      <x:c r="I7" s="52" t="n">
        <x:f>IFERROR(INDEX('03_工程量依据'!$G$5:$G$22,MATCH(H7,'03_工程量依据'!$F$5:$F$22,0)),0)</x:f>
        <x:v>42.228</x:v>
      </x:c>
      <x:c r="J7" s="27" t="n">
        <x:v>0.08</x:v>
      </x:c>
      <x:c r="K7" s="52" t="n">
        <x:f>IF(OR(G7="套",G7="座",G7="个"),ROUNDUP(I7*(1+J7),0),ROUNDUP(I7*(1+J7),2))</x:f>
        <x:v>45.61</x:v>
      </x:c>
      <x:c r="L7" s="22" t="str">
        <x:f>IFERROR(INDEX('05_品牌价格来源'!$C$5:$C$40,SUMIFS('05_品牌价格来源'!$N$5:$N$40,'05_品牌价格来源'!$M$5:$M$40,A7&amp;"|mid"))&amp;"｜"&amp;INDEX('05_品牌价格来源'!$D$5:$D$40,SUMIFS('05_品牌价格来源'!$N$5:$N$40,'05_品牌价格来源'!$M$5:$M$40,A7&amp;"|mid")),"")</x:f>
        <x:v>东鹏瓷砖｜300×600 mm 浅灰米白哑光瓷质墙砖或同档工程砖</x:v>
      </x:c>
      <x:c r="M7" s="44" t="n">
        <x:f>SUMIFS('05_品牌价格来源'!$F$5:$F$40,'05_品牌价格来源'!$M$5:$M$40,A7&amp;"|mid")</x:f>
        <x:v>120</x:v>
      </x:c>
      <x:c r="N7" s="44" t="n">
        <x:f>SUMIFS('05_品牌价格来源'!$G$5:$G$40,'05_品牌价格来源'!$M$5:$M$40,A7&amp;"|mid")</x:f>
        <x:v>220</x:v>
      </x:c>
      <x:c r="O7" s="44" t="n">
        <x:f>ROUND(K7*M7,2)</x:f>
        <x:v>5473.2</x:v>
      </x:c>
      <x:c r="P7" s="44" t="n">
        <x:f>ROUND(K7*N7,2)</x:f>
        <x:v>10034.2</x:v>
      </x:c>
      <x:c r="Q7" s="44" t="str">
        <x:f>IFERROR(INDEX('05_品牌价格来源'!$C$5:$C$40,SUMIFS('05_品牌价格来源'!$N$5:$N$40,'05_品牌价格来源'!$M$5:$M$40,A7&amp;"|economy"))&amp;"｜"&amp;INDEX('05_品牌价格来源'!$D$5:$D$40,SUMIFS('05_品牌价格来源'!$N$5:$N$40,'05_品牌价格来源'!$M$5:$M$40,A7&amp;"|economy")),"")</x:f>
        <x:v>新中源陶瓷或佛山同档工程砖｜300×600 mm 浅灰米白哑光瓷质墙砖</x:v>
      </x:c>
      <x:c r="R7" s="44" t="n">
        <x:f>SUMIFS('05_品牌价格来源'!$F$5:$F$40,'05_品牌价格来源'!$M$5:$M$40,A7&amp;"|economy")</x:f>
        <x:v>65</x:v>
      </x:c>
      <x:c r="S7" s="44" t="n">
        <x:f>SUMIFS('05_品牌价格来源'!$G$5:$G$40,'05_品牌价格来源'!$M$5:$M$40,A7&amp;"|economy")</x:f>
        <x:v>120</x:v>
      </x:c>
      <x:c r="T7" s="44" t="n">
        <x:f>ROUND(K7*R7,2)</x:f>
        <x:v>2964.65</x:v>
      </x:c>
      <x:c r="U7" s="44" t="n">
        <x:f>ROUND(K7*S7,2)</x:f>
        <x:v>5473.2</x:v>
      </x:c>
      <x:c r="V7" s="22" t="str">
        <x:v>暂估</x:v>
      </x:c>
      <x:c r="W7" s="22" t="str">
        <x:v>剖面暂估；池沿完成面高度约850 mm，不是实际水深</x:v>
      </x:c>
    </x:row>
    <x:row r="8">
      <x:c r="A8" s="22" t="str">
        <x:v>pool_floor_tile</x:v>
      </x:c>
      <x:c r="B8" s="22" t="str">
        <x:v>瓷砖</x:v>
      </x:c>
      <x:c r="C8" s="22" t="str">
        <x:v>坐台及入池部位</x:v>
      </x:c>
      <x:c r="D8" s="22" t="str">
        <x:v>与池底同色，转角加强防滑</x:v>
      </x:c>
      <x:c r="E8" s="22" t="str">
        <x:v>150×150 mm</x:v>
      </x:c>
      <x:c r="F8" s="22" t="str">
        <x:v>踏面湿态防滑；阳角圆角/安全收口</x:v>
      </x:c>
      <x:c r="G8" s="22" t="str">
        <x:v>m²</x:v>
      </x:c>
      <x:c r="H8" s="22" t="str">
        <x:v>Q_POOL_STEPS</x:v>
      </x:c>
      <x:c r="I8" s="52" t="n">
        <x:f>IFERROR(INDEX('03_工程量依据'!$G$5:$G$22,MATCH(H8,'03_工程量依据'!$F$5:$F$22,0)),0)</x:f>
        <x:v>18</x:v>
      </x:c>
      <x:c r="J8" s="27" t="n">
        <x:v>0.12</x:v>
      </x:c>
      <x:c r="K8" s="52" t="n">
        <x:f>IF(OR(G8="套",G8="座",G8="个"),ROUNDUP(I8*(1+J8),0),ROUNDUP(I8*(1+J8),2))</x:f>
        <x:v>20.17</x:v>
      </x:c>
      <x:c r="L8" s="22" t="str">
        <x:f>IFERROR(INDEX('05_品牌价格来源'!$C$5:$C$40,SUMIFS('05_品牌价格来源'!$N$5:$N$40,'05_品牌价格来源'!$M$5:$M$40,A8&amp;"|mid"))&amp;"｜"&amp;INDEX('05_品牌价格来源'!$D$5:$D$40,SUMIFS('05_品牌价格来源'!$N$5:$N$40,'05_品牌价格来源'!$M$5:$M$40,A8&amp;"|mid")),"")</x:f>
        <x:v>唯格 VIEWGRES｜150×150 mm 定制浅冷灰小规格泳池/湿区瓷质砖，湿态防滑检测合格</x:v>
      </x:c>
      <x:c r="M8" s="44" t="n">
        <x:f>SUMIFS('05_品牌价格来源'!$F$5:$F$40,'05_品牌价格来源'!$M$5:$M$40,A8&amp;"|mid")</x:f>
        <x:v>150</x:v>
      </x:c>
      <x:c r="N8" s="44" t="n">
        <x:f>SUMIFS('05_品牌价格来源'!$G$5:$G$40,'05_品牌价格来源'!$M$5:$M$40,A8&amp;"|mid")</x:f>
        <x:v>260</x:v>
      </x:c>
      <x:c r="O8" s="44" t="n">
        <x:f>ROUND(K8*M8,2)</x:f>
        <x:v>3025.5</x:v>
      </x:c>
      <x:c r="P8" s="44" t="n">
        <x:f>ROUND(K8*N8,2)</x:f>
        <x:v>5244.2</x:v>
      </x:c>
      <x:c r="Q8" s="44" t="str">
        <x:f>IFERROR(INDEX('05_品牌价格来源'!$C$5:$C$40,SUMIFS('05_品牌价格来源'!$N$5:$N$40,'05_品牌价格来源'!$M$5:$M$40,A8&amp;"|economy"))&amp;"｜"&amp;INDEX('05_品牌价格来源'!$D$5:$D$40,SUMIFS('05_品牌价格来源'!$N$5:$N$40,'05_品牌价格来源'!$M$5:$M$40,A8&amp;"|economy")),"")</x:f>
        <x:v>佛山正规泳池砖厂家（等效）｜150×150 mm 浅冷灰小规格瓷质防滑砖，性能不得低于主表要求</x:v>
      </x:c>
      <x:c r="R8" s="44" t="n">
        <x:f>SUMIFS('05_品牌价格来源'!$F$5:$F$40,'05_品牌价格来源'!$M$5:$M$40,A8&amp;"|economy")</x:f>
        <x:v>80</x:v>
      </x:c>
      <x:c r="S8" s="44" t="n">
        <x:f>SUMIFS('05_品牌价格来源'!$G$5:$G$40,'05_品牌价格来源'!$M$5:$M$40,A8&amp;"|economy")</x:f>
        <x:v>150</x:v>
      </x:c>
      <x:c r="T8" s="44" t="n">
        <x:f>ROUND(K8*R8,2)</x:f>
        <x:v>1613.6</x:v>
      </x:c>
      <x:c r="U8" s="44" t="n">
        <x:f>ROUND(K8*S8,2)</x:f>
        <x:v>3025.5</x:v>
      </x:c>
      <x:c r="V8" s="22" t="str">
        <x:v>现场复尺</x:v>
      </x:c>
      <x:c r="W8" s="22" t="str">
        <x:v>18 m²预算占位，需深化台阶与扶手</x:v>
      </x:c>
    </x:row>
    <x:row r="9">
      <x:c r="A9" s="22" t="str">
        <x:v>pool_coping_tile</x:v>
      </x:c>
      <x:c r="B9" s="22" t="str">
        <x:v>瓷砖</x:v>
      </x:c>
      <x:c r="C9" s="22" t="str">
        <x:v>汤池池沿</x:v>
      </x:c>
      <x:c r="D9" s="22" t="str">
        <x:v>防滑、圆角或倒圆边</x:v>
      </x:c>
      <x:c r="E9" s="22" t="str">
        <x:v>300×600 mm加工</x:v>
      </x:c>
      <x:c r="F9" s="22" t="str">
        <x:v>不得高光；加工节点须打样</x:v>
      </x:c>
      <x:c r="G9" s="22" t="str">
        <x:v>m²</x:v>
      </x:c>
      <x:c r="H9" s="22" t="str">
        <x:v>Q_POOL_COPING</x:v>
      </x:c>
      <x:c r="I9" s="52" t="n">
        <x:f>IFERROR(INDEX('03_工程量依据'!$G$5:$G$22,MATCH(H9,'03_工程量依据'!$F$5:$F$22,0)),0)</x:f>
        <x:v>12.920000000000002</x:v>
      </x:c>
      <x:c r="J9" s="27" t="n">
        <x:v>0.12</x:v>
      </x:c>
      <x:c r="K9" s="52" t="n">
        <x:f>IF(OR(G9="套",G9="座",G9="个"),ROUNDUP(I9*(1+J9),0),ROUNDUP(I9*(1+J9),2))</x:f>
        <x:v>14.48</x:v>
      </x:c>
      <x:c r="L9" s="22" t="str">
        <x:f>IFERROR(INDEX('05_品牌价格来源'!$C$5:$C$40,SUMIFS('05_品牌价格来源'!$N$5:$N$40,'05_品牌价格来源'!$M$5:$M$40,A9&amp;"|mid"))&amp;"｜"&amp;INDEX('05_品牌价格来源'!$D$5:$D$40,SUMIFS('05_品牌价格来源'!$N$5:$N$40,'05_品牌价格来源'!$M$5:$M$40,A9&amp;"|mid")),"")</x:f>
        <x:v>唯格 VIEWGRES｜300×600 mm 防滑瓷质砖加工池沿，含倒圆/圆角加工预算</x:v>
      </x:c>
      <x:c r="M9" s="44" t="n">
        <x:f>SUMIFS('05_品牌价格来源'!$F$5:$F$40,'05_品牌价格来源'!$M$5:$M$40,A9&amp;"|mid")</x:f>
        <x:v>220</x:v>
      </x:c>
      <x:c r="N9" s="44" t="n">
        <x:f>SUMIFS('05_品牌价格来源'!$G$5:$G$40,'05_品牌价格来源'!$M$5:$M$40,A9&amp;"|mid")</x:f>
        <x:v>380</x:v>
      </x:c>
      <x:c r="O9" s="44" t="n">
        <x:f>ROUND(K9*M9,2)</x:f>
        <x:v>3185.6</x:v>
      </x:c>
      <x:c r="P9" s="44" t="n">
        <x:f>ROUND(K9*N9,2)</x:f>
        <x:v>5502.4</x:v>
      </x:c>
      <x:c r="Q9" s="44" t="str">
        <x:f>IFERROR(INDEX('05_品牌价格来源'!$C$5:$C$40,SUMIFS('05_品牌价格来源'!$N$5:$N$40,'05_品牌价格来源'!$M$5:$M$40,A9&amp;"|economy"))&amp;"｜"&amp;INDEX('05_品牌价格来源'!$D$5:$D$40,SUMIFS('05_品牌价格来源'!$N$5:$N$40,'05_品牌价格来源'!$M$5:$M$40,A9&amp;"|economy")),"")</x:f>
        <x:v>佛山瓷质防滑砖厂家（等效）｜300×600 mm 防滑砖加工池沿，安全倒圆</x:v>
      </x:c>
      <x:c r="R9" s="44" t="n">
        <x:f>SUMIFS('05_品牌价格来源'!$F$5:$F$40,'05_品牌价格来源'!$M$5:$M$40,A9&amp;"|economy")</x:f>
        <x:v>130</x:v>
      </x:c>
      <x:c r="S9" s="44" t="n">
        <x:f>SUMIFS('05_品牌价格来源'!$G$5:$G$40,'05_品牌价格来源'!$M$5:$M$40,A9&amp;"|economy")</x:f>
        <x:v>220</x:v>
      </x:c>
      <x:c r="T9" s="44" t="n">
        <x:f>ROUND(K9*R9,2)</x:f>
        <x:v>1882.4</x:v>
      </x:c>
      <x:c r="U9" s="44" t="n">
        <x:f>ROUND(K9*S9,2)</x:f>
        <x:v>3185.6</x:v>
      </x:c>
      <x:c r="V9" s="22" t="str">
        <x:v>现场复尺</x:v>
      </x:c>
      <x:c r="W9" s="22" t="str">
        <x:v>加工费和破损补片需单列确认</x:v>
      </x:c>
    </x:row>
    <x:row r="10">
      <x:c r="A10" s="22" t="str">
        <x:v>deck_floor_tile</x:v>
      </x:c>
      <x:c r="B10" s="22" t="str">
        <x:v>瓷砖</x:v>
      </x:c>
      <x:c r="C10" s="22" t="str">
        <x:v>池外汤区地面</x:v>
      </x:c>
      <x:c r="D10" s="22" t="str">
        <x:v>浅冷灰米白细石纹、哑光</x:v>
      </x:c>
      <x:c r="E10" s="22" t="str">
        <x:v>600×600 mm</x:v>
      </x:c>
      <x:c r="F10" s="22" t="str">
        <x:v>湿态防滑、易清洁</x:v>
      </x:c>
      <x:c r="G10" s="22" t="str">
        <x:v>m²</x:v>
      </x:c>
      <x:c r="H10" s="22" t="str">
        <x:v>Q_BATH_DECK</x:v>
      </x:c>
      <x:c r="I10" s="52" t="n">
        <x:f>IFERROR(INDEX('03_工程量依据'!$G$5:$G$22,MATCH(H10,'03_工程量依据'!$F$5:$F$22,0)),0)</x:f>
        <x:v>31.942399999999992</x:v>
      </x:c>
      <x:c r="J10" s="27" t="n">
        <x:v>0.08</x:v>
      </x:c>
      <x:c r="K10" s="52" t="n">
        <x:f>IF(OR(G10="套",G10="座",G10="个"),ROUNDUP(I10*(1+J10),0),ROUNDUP(I10*(1+J10),2))</x:f>
        <x:v>34.5</x:v>
      </x:c>
      <x:c r="L10" s="22" t="str">
        <x:f>IFERROR(INDEX('05_品牌价格来源'!$C$5:$C$40,SUMIFS('05_品牌价格来源'!$N$5:$N$40,'05_品牌价格来源'!$M$5:$M$40,A10&amp;"|mid"))&amp;"｜"&amp;INDEX('05_品牌价格来源'!$D$5:$D$40,SUMIFS('05_品牌价格来源'!$N$5:$N$40,'05_品牌价格来源'!$M$5:$M$40,A10&amp;"|mid")),"")</x:f>
        <x:v>东鹏瓷砖｜600×600 mm 浅冷灰米白哑光细石纹防滑瓷质砖</x:v>
      </x:c>
      <x:c r="M10" s="44" t="n">
        <x:f>SUMIFS('05_品牌价格来源'!$F$5:$F$40,'05_品牌价格来源'!$M$5:$M$40,A10&amp;"|mid")</x:f>
        <x:v>110</x:v>
      </x:c>
      <x:c r="N10" s="44" t="n">
        <x:f>SUMIFS('05_品牌价格来源'!$G$5:$G$40,'05_品牌价格来源'!$M$5:$M$40,A10&amp;"|mid")</x:f>
        <x:v>190</x:v>
      </x:c>
      <x:c r="O10" s="44" t="n">
        <x:f>ROUND(K10*M10,2)</x:f>
        <x:v>3795</x:v>
      </x:c>
      <x:c r="P10" s="44" t="n">
        <x:f>ROUND(K10*N10,2)</x:f>
        <x:v>6555</x:v>
      </x:c>
      <x:c r="Q10" s="44" t="str">
        <x:f>IFERROR(INDEX('05_品牌价格来源'!$C$5:$C$40,SUMIFS('05_品牌价格来源'!$N$5:$N$40,'05_品牌价格来源'!$M$5:$M$40,A10&amp;"|economy"))&amp;"｜"&amp;INDEX('05_品牌价格来源'!$D$5:$D$40,SUMIFS('05_品牌价格来源'!$N$5:$N$40,'05_品牌价格来源'!$M$5:$M$40,A10&amp;"|economy")),"")</x:f>
        <x:v>新中源/冠珠同档佛山工程砖｜600×600 mm 浅冷灰哑光防滑瓷质砖</x:v>
      </x:c>
      <x:c r="R10" s="44" t="n">
        <x:f>SUMIFS('05_品牌价格来源'!$F$5:$F$40,'05_品牌价格来源'!$M$5:$M$40,A10&amp;"|economy")</x:f>
        <x:v>60</x:v>
      </x:c>
      <x:c r="S10" s="44" t="n">
        <x:f>SUMIFS('05_品牌价格来源'!$G$5:$G$40,'05_品牌价格来源'!$M$5:$M$40,A10&amp;"|economy")</x:f>
        <x:v>110</x:v>
      </x:c>
      <x:c r="T10" s="44" t="n">
        <x:f>ROUND(K10*R10,2)</x:f>
        <x:v>2070</x:v>
      </x:c>
      <x:c r="U10" s="44" t="n">
        <x:f>ROUND(K10*S10,2)</x:f>
        <x:v>3795</x:v>
      </x:c>
      <x:c r="V10" s="22" t="str">
        <x:v>图纸计算</x:v>
      </x:c>
      <x:c r="W10" s="22" t="str">
        <x:v>地漏和找坡不在本次计价内</x:v>
      </x:c>
    </x:row>
    <x:row r="11">
      <x:c r="A11" s="22" t="str">
        <x:v>deck_floor_tile</x:v>
      </x:c>
      <x:c r="B11" s="22" t="str">
        <x:v>瓷砖</x:v>
      </x:c>
      <x:c r="C11" s="22" t="str">
        <x:v>休息/过渡区地面</x:v>
      </x:c>
      <x:c r="D11" s="22" t="str">
        <x:v>与汤区连续，浅冷灰米白</x:v>
      </x:c>
      <x:c r="E11" s="22" t="str">
        <x:v>600×600 mm</x:v>
      </x:c>
      <x:c r="F11" s="22" t="str">
        <x:v>高湿环境防滑、耐污</x:v>
      </x:c>
      <x:c r="G11" s="22" t="str">
        <x:v>m²</x:v>
      </x:c>
      <x:c r="H11" s="22" t="str">
        <x:v>Q_SUPPORT_FLOOR</x:v>
      </x:c>
      <x:c r="I11" s="52" t="n">
        <x:f>IFERROR(INDEX('03_工程量依据'!$G$5:$G$22,MATCH(H11,'03_工程量依据'!$F$5:$F$22,0)),0)</x:f>
        <x:v>66.30008000000001</x:v>
      </x:c>
      <x:c r="J11" s="27" t="n">
        <x:v>0.08</x:v>
      </x:c>
      <x:c r="K11" s="52" t="n">
        <x:f>IF(OR(G11="套",G11="座",G11="个"),ROUNDUP(I11*(1+J11),0),ROUNDUP(I11*(1+J11),2))</x:f>
        <x:v>71.61</x:v>
      </x:c>
      <x:c r="L11" s="22" t="str">
        <x:f>IFERROR(INDEX('05_品牌价格来源'!$C$5:$C$40,SUMIFS('05_品牌价格来源'!$N$5:$N$40,'05_品牌价格来源'!$M$5:$M$40,A11&amp;"|mid"))&amp;"｜"&amp;INDEX('05_品牌价格来源'!$D$5:$D$40,SUMIFS('05_品牌价格来源'!$N$5:$N$40,'05_品牌价格来源'!$M$5:$M$40,A11&amp;"|mid")),"")</x:f>
        <x:v>东鹏瓷砖｜600×600 mm 浅冷灰米白哑光细石纹防滑瓷质砖</x:v>
      </x:c>
      <x:c r="M11" s="44" t="n">
        <x:f>SUMIFS('05_品牌价格来源'!$F$5:$F$40,'05_品牌价格来源'!$M$5:$M$40,A11&amp;"|mid")</x:f>
        <x:v>110</x:v>
      </x:c>
      <x:c r="N11" s="44" t="n">
        <x:f>SUMIFS('05_品牌价格来源'!$G$5:$G$40,'05_品牌价格来源'!$M$5:$M$40,A11&amp;"|mid")</x:f>
        <x:v>190</x:v>
      </x:c>
      <x:c r="O11" s="44" t="n">
        <x:f>ROUND(K11*M11,2)</x:f>
        <x:v>7877.1</x:v>
      </x:c>
      <x:c r="P11" s="44" t="n">
        <x:f>ROUND(K11*N11,2)</x:f>
        <x:v>13605.9</x:v>
      </x:c>
      <x:c r="Q11" s="44" t="str">
        <x:f>IFERROR(INDEX('05_品牌价格来源'!$C$5:$C$40,SUMIFS('05_品牌价格来源'!$N$5:$N$40,'05_品牌价格来源'!$M$5:$M$40,A11&amp;"|economy"))&amp;"｜"&amp;INDEX('05_品牌价格来源'!$D$5:$D$40,SUMIFS('05_品牌价格来源'!$N$5:$N$40,'05_品牌价格来源'!$M$5:$M$40,A11&amp;"|economy")),"")</x:f>
        <x:v>新中源/冠珠同档佛山工程砖｜600×600 mm 浅冷灰哑光防滑瓷质砖</x:v>
      </x:c>
      <x:c r="R11" s="44" t="n">
        <x:f>SUMIFS('05_品牌价格来源'!$F$5:$F$40,'05_品牌价格来源'!$M$5:$M$40,A11&amp;"|economy")</x:f>
        <x:v>60</x:v>
      </x:c>
      <x:c r="S11" s="44" t="n">
        <x:f>SUMIFS('05_品牌价格来源'!$G$5:$G$40,'05_品牌价格来源'!$M$5:$M$40,A11&amp;"|economy")</x:f>
        <x:v>110</x:v>
      </x:c>
      <x:c r="T11" s="44" t="n">
        <x:f>ROUND(K11*R11,2)</x:f>
        <x:v>4296.6</x:v>
      </x:c>
      <x:c r="U11" s="44" t="n">
        <x:f>ROUND(K11*S11,2)</x:f>
        <x:v>7877.1</x:v>
      </x:c>
      <x:c r="V11" s="22" t="str">
        <x:v>图纸计算</x:v>
      </x:c>
      <x:c r="W11" s="22" t="str">
        <x:v>现场核对固定构筑物扣减</x:v>
      </x:c>
    </x:row>
    <x:row r="12">
      <x:c r="A12" s="22" t="str">
        <x:v>wall_tile</x:v>
      </x:c>
      <x:c r="B12" s="22" t="str">
        <x:v>瓷砖</x:v>
      </x:c>
      <x:c r="C12" s="22" t="str">
        <x:v>全部普通墙面至吊顶</x:v>
      </x:c>
      <x:c r="D12" s="22" t="str">
        <x:v>中性灰白、低纹理、哑光</x:v>
      </x:c>
      <x:c r="E12" s="22" t="str">
        <x:v>600×1200 mm</x:v>
      </x:c>
      <x:c r="F12" s="22" t="str">
        <x:v>瓷质、耐污易清洁；排版深化</x:v>
      </x:c>
      <x:c r="G12" s="22" t="str">
        <x:v>m²</x:v>
      </x:c>
      <x:c r="H12" s="22" t="str">
        <x:v>Q_WALL_TILE</x:v>
      </x:c>
      <x:c r="I12" s="52" t="n">
        <x:f>IFERROR(INDEX('03_工程量依据'!$G$5:$G$22,MATCH(H12,'03_工程量依据'!$F$5:$F$22,0)),0)</x:f>
        <x:v>237.59840000000003</x:v>
      </x:c>
      <x:c r="J12" s="27" t="n">
        <x:v>0.1</x:v>
      </x:c>
      <x:c r="K12" s="52" t="n">
        <x:f>IF(OR(G12="套",G12="座",G12="个"),ROUNDUP(I12*(1+J12),0),ROUNDUP(I12*(1+J12),2))</x:f>
        <x:v>261.36</x:v>
      </x:c>
      <x:c r="L12" s="22" t="str">
        <x:f>IFERROR(INDEX('05_品牌价格来源'!$C$5:$C$40,SUMIFS('05_品牌价格来源'!$N$5:$N$40,'05_品牌价格来源'!$M$5:$M$40,A12&amp;"|mid"))&amp;"｜"&amp;INDEX('05_品牌价格来源'!$D$5:$D$40,SUMIFS('05_品牌价格来源'!$N$5:$N$40,'05_品牌价格来源'!$M$5:$M$40,A12&amp;"|mid")),"")</x:f>
        <x:v>蒙娜丽莎/东鹏同档｜600×1200 mm 中性灰白哑光瓷质墙砖</x:v>
      </x:c>
      <x:c r="M12" s="44" t="n">
        <x:f>SUMIFS('05_品牌价格来源'!$F$5:$F$40,'05_品牌价格来源'!$M$5:$M$40,A12&amp;"|mid")</x:f>
        <x:v>130</x:v>
      </x:c>
      <x:c r="N12" s="44" t="n">
        <x:f>SUMIFS('05_品牌价格来源'!$G$5:$G$40,'05_品牌价格来源'!$M$5:$M$40,A12&amp;"|mid")</x:f>
        <x:v>240</x:v>
      </x:c>
      <x:c r="O12" s="44" t="n">
        <x:f>ROUND(K12*M12,2)</x:f>
        <x:v>33976.8</x:v>
      </x:c>
      <x:c r="P12" s="44" t="n">
        <x:f>ROUND(K12*N12,2)</x:f>
        <x:v>62726.4</x:v>
      </x:c>
      <x:c r="Q12" s="44" t="str">
        <x:f>IFERROR(INDEX('05_品牌价格来源'!$C$5:$C$40,SUMIFS('05_品牌价格来源'!$N$5:$N$40,'05_品牌价格来源'!$M$5:$M$40,A12&amp;"|economy"))&amp;"｜"&amp;INDEX('05_品牌价格来源'!$D$5:$D$40,SUMIFS('05_品牌价格来源'!$N$5:$N$40,'05_品牌价格来源'!$M$5:$M$40,A12&amp;"|economy")),"")</x:f>
        <x:v>佛山正规工程瓷质砖（等效）｜600×1200 mm 中性灰白哑光瓷质墙砖</x:v>
      </x:c>
      <x:c r="R12" s="44" t="n">
        <x:f>SUMIFS('05_品牌价格来源'!$F$5:$F$40,'05_品牌价格来源'!$M$5:$M$40,A12&amp;"|economy")</x:f>
        <x:v>70</x:v>
      </x:c>
      <x:c r="S12" s="44" t="n">
        <x:f>SUMIFS('05_品牌价格来源'!$G$5:$G$40,'05_品牌价格来源'!$M$5:$M$40,A12&amp;"|economy")</x:f>
        <x:v>130</x:v>
      </x:c>
      <x:c r="T12" s="44" t="n">
        <x:f>ROUND(K12*R12,2)</x:f>
        <x:v>18295.2</x:v>
      </x:c>
      <x:c r="U12" s="44" t="n">
        <x:f>ROUND(K12*S12,2)</x:f>
        <x:v>33976.8</x:v>
      </x:c>
      <x:c r="V12" s="22" t="str">
        <x:v>现场复尺</x:v>
      </x:c>
      <x:c r="W12" s="22" t="str">
        <x:v>已扣16 m²端景；门窗玻璃洞口需复尺</x:v>
      </x:c>
    </x:row>
    <x:row r="13">
      <x:c r="A13" s="22" t="str">
        <x:v>feature_tile</x:v>
      </x:c>
      <x:c r="B13" s="22" t="str">
        <x:v>瓷砖</x:v>
      </x:c>
      <x:c r="C13" s="22" t="str">
        <x:v>两处端景肌理墙</x:v>
      </x:c>
      <x:c r="D13" s="22" t="str">
        <x:v>浅灰米白浅浮雕，低反光</x:v>
      </x:c>
      <x:c r="E13" s="22" t="str">
        <x:v>定制/成品肌理砖</x:v>
      </x:c>
      <x:c r="F13" s="22" t="str">
        <x:v>耐水、耐污、可清洁；先打样</x:v>
      </x:c>
      <x:c r="G13" s="22" t="str">
        <x:v>m²</x:v>
      </x:c>
      <x:c r="H13" s="22" t="str">
        <x:v>Q_FEATURE_TILE</x:v>
      </x:c>
      <x:c r="I13" s="52" t="n">
        <x:f>IFERROR(INDEX('03_工程量依据'!$G$5:$G$22,MATCH(H13,'03_工程量依据'!$F$5:$F$22,0)),0)</x:f>
        <x:v>16</x:v>
      </x:c>
      <x:c r="J13" s="27" t="n">
        <x:v>0.12</x:v>
      </x:c>
      <x:c r="K13" s="52" t="n">
        <x:f>IF(OR(G13="套",G13="座",G13="个"),ROUNDUP(I13*(1+J13),0),ROUNDUP(I13*(1+J13),2))</x:f>
        <x:v>17.92</x:v>
      </x:c>
      <x:c r="L13" s="22" t="str">
        <x:f>IFERROR(INDEX('05_品牌价格来源'!$C$5:$C$40,SUMIFS('05_品牌价格来源'!$N$5:$N$40,'05_品牌价格来源'!$M$5:$M$40,A13&amp;"|mid"))&amp;"｜"&amp;INDEX('05_品牌价格来源'!$D$5:$D$40,SUMIFS('05_品牌价格来源'!$N$5:$N$40,'05_品牌价格来源'!$M$5:$M$40,A13&amp;"|mid")),"")</x:f>
        <x:v>蒙娜丽莎/唯格定制｜浅灰米白局部浮雕或肌理瓷砖，低反光</x:v>
      </x:c>
      <x:c r="M13" s="44" t="n">
        <x:f>SUMIFS('05_品牌价格来源'!$F$5:$F$40,'05_品牌价格来源'!$M$5:$M$40,A13&amp;"|mid")</x:f>
        <x:v>260</x:v>
      </x:c>
      <x:c r="N13" s="44" t="n">
        <x:f>SUMIFS('05_品牌价格来源'!$G$5:$G$40,'05_品牌价格来源'!$M$5:$M$40,A13&amp;"|mid")</x:f>
        <x:v>480</x:v>
      </x:c>
      <x:c r="O13" s="44" t="n">
        <x:f>ROUND(K13*M13,2)</x:f>
        <x:v>4659.2</x:v>
      </x:c>
      <x:c r="P13" s="44" t="n">
        <x:f>ROUND(K13*N13,2)</x:f>
        <x:v>8601.6</x:v>
      </x:c>
      <x:c r="Q13" s="44" t="str">
        <x:f>IFERROR(INDEX('05_品牌价格来源'!$C$5:$C$40,SUMIFS('05_品牌价格来源'!$N$5:$N$40,'05_品牌价格来源'!$M$5:$M$40,A13&amp;"|economy"))&amp;"｜"&amp;INDEX('05_品牌价格来源'!$D$5:$D$40,SUMIFS('05_品牌价格来源'!$N$5:$N$40,'05_品牌价格来源'!$M$5:$M$40,A13&amp;"|economy")),"")</x:f>
        <x:v>佛山浅浮雕墙砖厂家（等效）｜浅灰米白成品肌理墙砖，限制为局部使用</x:v>
      </x:c>
      <x:c r="R13" s="44" t="n">
        <x:f>SUMIFS('05_品牌价格来源'!$F$5:$F$40,'05_品牌价格来源'!$M$5:$M$40,A13&amp;"|economy")</x:f>
        <x:v>140</x:v>
      </x:c>
      <x:c r="S13" s="44" t="n">
        <x:f>SUMIFS('05_品牌价格来源'!$G$5:$G$40,'05_品牌价格来源'!$M$5:$M$40,A13&amp;"|economy")</x:f>
        <x:v>260</x:v>
      </x:c>
      <x:c r="T13" s="44" t="n">
        <x:f>ROUND(K13*R13,2)</x:f>
        <x:v>2508.8</x:v>
      </x:c>
      <x:c r="U13" s="44" t="n">
        <x:f>ROUND(K13*S13,2)</x:f>
        <x:v>4659.2</x:v>
      </x:c>
      <x:c r="V13" s="22" t="str">
        <x:v>现场复尺</x:v>
      </x:c>
      <x:c r="W13" s="22" t="str">
        <x:v>不使用仿古黄石或吸水文化石</x:v>
      </x:c>
    </x:row>
    <x:row r="14">
      <x:c r="A14" s="22" t="str">
        <x:v>ceiling_system</x:v>
      </x:c>
      <x:c r="B14" s="22" t="str">
        <x:v>吊顶</x:v>
      </x:c>
      <x:c r="C14" s="22" t="str">
        <x:v>男女汤及过渡区全部吊顶</x:v>
      </x:c>
      <x:c r="D14" s="22" t="str">
        <x:v>中性浅灰白/雾白哑光</x:v>
      </x:c>
      <x:c r="E14" s="22" t="str">
        <x:v>中档600×1200蜂窝板；经济600×600扣板</x:v>
      </x:c>
      <x:c r="F14" s="22" t="str">
        <x:v>耐潮耐腐蚀；龙骨吊杆连接件防腐；燃烧性能资料</x:v>
      </x:c>
      <x:c r="G14" s="22" t="str">
        <x:v>m²</x:v>
      </x:c>
      <x:c r="H14" s="22" t="str">
        <x:v>Q_CEILING</x:v>
      </x:c>
      <x:c r="I14" s="52" t="n">
        <x:f>IFERROR(INDEX('03_工程量依据'!$G$5:$G$22,MATCH(H14,'03_工程量依据'!$F$5:$F$22,0)),0)</x:f>
        <x:v>195.7494</x:v>
      </x:c>
      <x:c r="J14" s="27" t="n">
        <x:v>0.08</x:v>
      </x:c>
      <x:c r="K14" s="52" t="n">
        <x:f>IF(OR(G14="套",G14="座",G14="个"),ROUNDUP(I14*(1+J14),0),ROUNDUP(I14*(1+J14),2))</x:f>
        <x:v>211.41</x:v>
      </x:c>
      <x:c r="L14" s="22" t="str">
        <x:f>IFERROR(INDEX('05_品牌价格来源'!$C$5:$C$40,SUMIFS('05_品牌价格来源'!$N$5:$N$40,'05_品牌价格来源'!$M$5:$M$40,A14&amp;"|mid"))&amp;"｜"&amp;INDEX('05_品牌价格来源'!$D$5:$D$40,SUMIFS('05_品牌价格来源'!$N$5:$N$40,'05_品牌价格来源'!$M$5:$M$40,A14&amp;"|mid")),"")</x:f>
        <x:v>佛山欧陆/欧佰同档工程系统｜600×1200 mm 浅灰白哑光铝蜂窝板吊顶系统，含配套防腐龙骨预算</x:v>
      </x:c>
      <x:c r="M14" s="44" t="n">
        <x:f>SUMIFS('05_品牌价格来源'!$F$5:$F$40,'05_品牌价格来源'!$M$5:$M$40,A14&amp;"|mid")</x:f>
        <x:v>260</x:v>
      </x:c>
      <x:c r="N14" s="44" t="n">
        <x:f>SUMIFS('05_品牌价格来源'!$G$5:$G$40,'05_品牌价格来源'!$M$5:$M$40,A14&amp;"|mid")</x:f>
        <x:v>480</x:v>
      </x:c>
      <x:c r="O14" s="44" t="n">
        <x:f>ROUND(K14*M14,2)</x:f>
        <x:v>54966.6</x:v>
      </x:c>
      <x:c r="P14" s="44" t="n">
        <x:f>ROUND(K14*N14,2)</x:f>
        <x:v>101476.8</x:v>
      </x:c>
      <x:c r="Q14" s="44" t="str">
        <x:f>IFERROR(INDEX('05_品牌价格来源'!$C$5:$C$40,SUMIFS('05_品牌价格来源'!$N$5:$N$40,'05_品牌价格来源'!$M$5:$M$40,A14&amp;"|economy"))&amp;"｜"&amp;INDEX('05_品牌价格来源'!$D$5:$D$40,SUMIFS('05_品牌价格来源'!$N$5:$N$40,'05_品牌价格来源'!$M$5:$M$40,A14&amp;"|economy")),"")</x:f>
        <x:v>佛山工程铝扣板厂家（等效）｜600×600 mm 浅灰白哑光工程铝扣板系统，含配套龙骨预算</x:v>
      </x:c>
      <x:c r="R14" s="44" t="n">
        <x:f>SUMIFS('05_品牌价格来源'!$F$5:$F$40,'05_品牌价格来源'!$M$5:$M$40,A14&amp;"|economy")</x:f>
        <x:v>100</x:v>
      </x:c>
      <x:c r="S14" s="44" t="n">
        <x:f>SUMIFS('05_品牌价格来源'!$G$5:$G$40,'05_品牌价格来源'!$M$5:$M$40,A14&amp;"|economy")</x:f>
        <x:v>180</x:v>
      </x:c>
      <x:c r="T14" s="44" t="n">
        <x:f>ROUND(K14*R14,2)</x:f>
        <x:v>21141</x:v>
      </x:c>
      <x:c r="U14" s="44" t="n">
        <x:f>ROUND(K14*S14,2)</x:f>
        <x:v>38053.8</x:v>
      </x:c>
      <x:c r="V14" s="22" t="str">
        <x:v>现场复尺</x:v>
      </x:c>
      <x:c r="W14" s="22" t="str">
        <x:v>约196 m²为毛面积；灯槽侧板和洞口另核</x:v>
      </x:c>
    </x:row>
    <x:row r="15">
      <x:c r="A15" s="22" t="str">
        <x:v>woodgrain_upgrade</x:v>
      </x:c>
      <x:c r="B15" s="22" t="str">
        <x:v>吊顶</x:v>
      </x:c>
      <x:c r="C15" s="22" t="str">
        <x:v>局部木色点缀</x:v>
      </x:c>
      <x:c r="D15" s="22" t="str">
        <x:v>浅灰白橡木纹，不偏黄橙红</x:v>
      </x:c>
      <x:c r="E15" s="22" t="str">
        <x:v>木纹转印铝板升级差价</x:v>
      </x:c>
      <x:c r="F15" s="22" t="str">
        <x:v>不使用天然木皮；经济方案取消</x:v>
      </x:c>
      <x:c r="G15" s="22" t="str">
        <x:v>m²</x:v>
      </x:c>
      <x:c r="H15" s="22" t="str">
        <x:v>Q_WOODGRAIN_UPGRADE</x:v>
      </x:c>
      <x:c r="I15" s="52" t="n">
        <x:f>IFERROR(INDEX('03_工程量依据'!$G$5:$G$22,MATCH(H15,'03_工程量依据'!$F$5:$F$22,0)),0)</x:f>
        <x:v>29.36241</x:v>
      </x:c>
      <x:c r="J15" s="27" t="n">
        <x:v>0.05</x:v>
      </x:c>
      <x:c r="K15" s="52" t="n">
        <x:f>IF(OR(G15="套",G15="座",G15="个"),ROUNDUP(I15*(1+J15),0),ROUNDUP(I15*(1+J15),2))</x:f>
        <x:v>30.84</x:v>
      </x:c>
      <x:c r="L15" s="22" t="str">
        <x:f>IFERROR(INDEX('05_品牌价格来源'!$C$5:$C$40,SUMIFS('05_品牌价格来源'!$N$5:$N$40,'05_品牌价格来源'!$M$5:$M$40,A15&amp;"|mid"))&amp;"｜"&amp;INDEX('05_品牌价格来源'!$D$5:$D$40,SUMIFS('05_品牌价格来源'!$N$5:$N$40,'05_品牌价格来源'!$M$5:$M$40,A15&amp;"|mid")),"")</x:f>
        <x:v>佛山工程铝板厂家｜浅灰白橡木纹转印铝板相对普通白色面板的升级差价</x:v>
      </x:c>
      <x:c r="M15" s="44" t="n">
        <x:f>SUMIFS('05_品牌价格来源'!$F$5:$F$40,'05_品牌价格来源'!$M$5:$M$40,A15&amp;"|mid")</x:f>
        <x:v>80</x:v>
      </x:c>
      <x:c r="N15" s="44" t="n">
        <x:f>SUMIFS('05_品牌价格来源'!$G$5:$G$40,'05_品牌价格来源'!$M$5:$M$40,A15&amp;"|mid")</x:f>
        <x:v>160</x:v>
      </x:c>
      <x:c r="O15" s="44" t="n">
        <x:f>ROUND(K15*M15,2)</x:f>
        <x:v>2467.2</x:v>
      </x:c>
      <x:c r="P15" s="44" t="n">
        <x:f>ROUND(K15*N15,2)</x:f>
        <x:v>4934.4</x:v>
      </x:c>
      <x:c r="Q15" s="44" t="str">
        <x:f>IFERROR(INDEX('05_品牌价格来源'!$C$5:$C$40,SUMIFS('05_品牌价格来源'!$N$5:$N$40,'05_品牌价格来源'!$M$5:$M$40,A15&amp;"|economy"))&amp;"｜"&amp;INDEX('05_品牌价格来源'!$D$5:$D$40,SUMIFS('05_品牌价格来源'!$N$5:$N$40,'05_品牌价格来源'!$M$5:$M$40,A15&amp;"|economy")),"")</x:f>
        <x:v>取消木纹升级｜经济方案保持全部浅灰白吊顶，不做木纹点缀；仅保留极小管理预留</x:v>
      </x:c>
      <x:c r="R15" s="44" t="n">
        <x:f>SUMIFS('05_品牌价格来源'!$F$5:$F$40,'05_品牌价格来源'!$M$5:$M$40,A15&amp;"|economy")</x:f>
        <x:v>0</x:v>
      </x:c>
      <x:c r="S15" s="44" t="n">
        <x:f>SUMIFS('05_品牌价格来源'!$G$5:$G$40,'05_品牌价格来源'!$M$5:$M$40,A15&amp;"|economy")</x:f>
        <x:v>0</x:v>
      </x:c>
      <x:c r="T15" s="44" t="n">
        <x:f>ROUND(K15*R15,2)</x:f>
        <x:v>0</x:v>
      </x:c>
      <x:c r="U15" s="44" t="n">
        <x:f>ROUND(K15*S15,2)</x:f>
        <x:v>0</x:v>
      </x:c>
      <x:c r="V15" s="22" t="str">
        <x:v>暂估</x:v>
      </x:c>
      <x:c r="W15" s="22" t="str">
        <x:v>按毛顶15%暂估；只计升级差价</x:v>
      </x:c>
    </x:row>
    <x:row r="16">
      <x:c r="A16" s="22" t="str">
        <x:v>linear_light_channel</x:v>
      </x:c>
      <x:c r="B16" s="22" t="str">
        <x:v>吊顶</x:v>
      </x:c>
      <x:c r="C16" s="22" t="str">
        <x:v>隐藏线性灯槽</x:v>
      </x:c>
      <x:c r="D16" s="22" t="str">
        <x:v>与吊顶同色，连续柔光</x:v>
      </x:c>
      <x:c r="E16" s="22" t="str">
        <x:v>防潮铝型材+柔光罩</x:v>
      </x:c>
      <x:c r="F16" s="22" t="str">
        <x:v>散热、罩体耐黄变、转角收口</x:v>
      </x:c>
      <x:c r="G16" s="22" t="str">
        <x:v>m</x:v>
      </x:c>
      <x:c r="H16" s="22" t="str">
        <x:v>Q_LINEAR_LIGHT</x:v>
      </x:c>
      <x:c r="I16" s="52" t="n">
        <x:f>IFERROR(INDEX('03_工程量依据'!$G$5:$G$22,MATCH(H16,'03_工程量依据'!$F$5:$F$22,0)),0)</x:f>
        <x:v>40</x:v>
      </x:c>
      <x:c r="J16" s="27" t="n">
        <x:v>0.08</x:v>
      </x:c>
      <x:c r="K16" s="52" t="n">
        <x:f>IF(OR(G16="套",G16="座",G16="个"),ROUNDUP(I16*(1+J16),0),ROUNDUP(I16*(1+J16),2))</x:f>
        <x:v>43.2</x:v>
      </x:c>
      <x:c r="L16" s="22" t="str">
        <x:f>IFERROR(INDEX('05_品牌价格来源'!$C$5:$C$40,SUMIFS('05_品牌价格来源'!$N$5:$N$40,'05_品牌价格来源'!$M$5:$M$40,A16&amp;"|mid"))&amp;"｜"&amp;INDEX('05_品牌价格来源'!$D$5:$D$40,SUMIFS('05_品牌价格来源'!$N$5:$N$40,'05_品牌价格来源'!$M$5:$M$40,A16&amp;"|mid")),"")</x:f>
        <x:v>雷士/三雄极光配套型材或等效｜防潮铝型材灯槽、柔光罩及端部配件</x:v>
      </x:c>
      <x:c r="M16" s="44" t="n">
        <x:f>SUMIFS('05_品牌价格来源'!$F$5:$F$40,'05_品牌价格来源'!$M$5:$M$40,A16&amp;"|mid")</x:f>
        <x:v>45</x:v>
      </x:c>
      <x:c r="N16" s="44" t="n">
        <x:f>SUMIFS('05_品牌价格来源'!$G$5:$G$40,'05_品牌价格来源'!$M$5:$M$40,A16&amp;"|mid")</x:f>
        <x:v>90</x:v>
      </x:c>
      <x:c r="O16" s="44" t="n">
        <x:f>ROUND(K16*M16,2)</x:f>
        <x:v>1944</x:v>
      </x:c>
      <x:c r="P16" s="44" t="n">
        <x:f>ROUND(K16*N16,2)</x:f>
        <x:v>3888</x:v>
      </x:c>
      <x:c r="Q16" s="44" t="str">
        <x:f>IFERROR(INDEX('05_品牌价格来源'!$C$5:$C$40,SUMIFS('05_品牌价格来源'!$N$5:$N$40,'05_品牌价格来源'!$M$5:$M$40,A16&amp;"|economy"))&amp;"｜"&amp;INDEX('05_品牌价格来源'!$D$5:$D$40,SUMIFS('05_品牌价格来源'!$N$5:$N$40,'05_品牌价格来源'!$M$5:$M$40,A16&amp;"|economy")),"")</x:f>
        <x:v>佛山/中山标准灯槽型材｜标准防潮铝型材灯槽及柔光罩</x:v>
      </x:c>
      <x:c r="R16" s="44" t="n">
        <x:f>SUMIFS('05_品牌价格来源'!$F$5:$F$40,'05_品牌价格来源'!$M$5:$M$40,A16&amp;"|economy")</x:f>
        <x:v>25</x:v>
      </x:c>
      <x:c r="S16" s="44" t="n">
        <x:f>SUMIFS('05_品牌价格来源'!$G$5:$G$40,'05_品牌价格来源'!$M$5:$M$40,A16&amp;"|economy")</x:f>
        <x:v>45</x:v>
      </x:c>
      <x:c r="T16" s="44" t="n">
        <x:f>ROUND(K16*R16,2)</x:f>
        <x:v>1080</x:v>
      </x:c>
      <x:c r="U16" s="44" t="n">
        <x:f>ROUND(K16*S16,2)</x:f>
        <x:v>1944</x:v>
      </x:c>
      <x:c r="V16" s="22" t="str">
        <x:v>专业深化</x:v>
      </x:c>
      <x:c r="W16" s="22" t="str">
        <x:v>不含灯带、驱动和线路</x:v>
      </x:c>
    </x:row>
    <x:row r="17">
      <x:c r="A17" s="22" t="str">
        <x:v>ceiling_access_hatch</x:v>
      </x:c>
      <x:c r="B17" s="22" t="str">
        <x:v>吊顶</x:v>
      </x:c>
      <x:c r="C17" s="22" t="str">
        <x:v>设备与机电检修位置</x:v>
      </x:c>
      <x:c r="D17" s="22" t="str">
        <x:v>与面板同材/协调</x:v>
      </x:c>
      <x:c r="E17" s="22" t="str">
        <x:v>隐框可开启检修口</x:v>
      </x:c>
      <x:c r="F17" s="22" t="str">
        <x:v>耐潮五金、可维护</x:v>
      </x:c>
      <x:c r="G17" s="22" t="str">
        <x:v>套</x:v>
      </x:c>
      <x:c r="H17" s="22" t="str">
        <x:v>Q_ACCESS_HATCH</x:v>
      </x:c>
      <x:c r="I17" s="52" t="n">
        <x:f>IFERROR(INDEX('03_工程量依据'!$G$5:$G$22,MATCH(H17,'03_工程量依据'!$F$5:$F$22,0)),0)</x:f>
        <x:v>6</x:v>
      </x:c>
      <x:c r="J17" s="27" t="n">
        <x:v>0</x:v>
      </x:c>
      <x:c r="K17" s="52" t="n">
        <x:f>IF(OR(G17="套",G17="座",G17="个"),ROUNDUP(I17*(1+J17),0),ROUNDUP(I17*(1+J17),2))</x:f>
        <x:v>6</x:v>
      </x:c>
      <x:c r="L17" s="22" t="str">
        <x:f>IFERROR(INDEX('05_品牌价格来源'!$C$5:$C$40,SUMIFS('05_品牌价格来源'!$N$5:$N$40,'05_品牌价格来源'!$M$5:$M$40,A17&amp;"|mid"))&amp;"｜"&amp;INDEX('05_品牌价格来源'!$D$5:$D$40,SUMIFS('05_品牌价格来源'!$N$5:$N$40,'05_品牌价格来源'!$M$5:$M$40,A17&amp;"|mid")),"")</x:f>
        <x:v>同吊顶系统定制｜同面材隐框可开启检修口，含边框与五金</x:v>
      </x:c>
      <x:c r="M17" s="44" t="n">
        <x:f>SUMIFS('05_品牌价格来源'!$F$5:$F$40,'05_品牌价格来源'!$M$5:$M$40,A17&amp;"|mid")</x:f>
        <x:v>280</x:v>
      </x:c>
      <x:c r="N17" s="44" t="n">
        <x:f>SUMIFS('05_品牌价格来源'!$G$5:$G$40,'05_品牌价格来源'!$M$5:$M$40,A17&amp;"|mid")</x:f>
        <x:v>550</x:v>
      </x:c>
      <x:c r="O17" s="44" t="n">
        <x:f>ROUND(K17*M17,2)</x:f>
        <x:v>1680</x:v>
      </x:c>
      <x:c r="P17" s="44" t="n">
        <x:f>ROUND(K17*N17,2)</x:f>
        <x:v>3300</x:v>
      </x:c>
      <x:c r="Q17" s="44" t="str">
        <x:f>IFERROR(INDEX('05_品牌价格来源'!$C$5:$C$40,SUMIFS('05_品牌价格来源'!$N$5:$N$40,'05_品牌价格来源'!$M$5:$M$40,A17&amp;"|economy"))&amp;"｜"&amp;INDEX('05_品牌价格来源'!$D$5:$D$40,SUMIFS('05_品牌价格来源'!$N$5:$N$40,'05_品牌价格来源'!$M$5:$M$40,A17&amp;"|economy")),"")</x:f>
        <x:v>成品铝合金检修口｜标准铝合金可开启检修口</x:v>
      </x:c>
      <x:c r="R17" s="44" t="n">
        <x:f>SUMIFS('05_品牌价格来源'!$F$5:$F$40,'05_品牌价格来源'!$M$5:$M$40,A17&amp;"|economy")</x:f>
        <x:v>120</x:v>
      </x:c>
      <x:c r="S17" s="44" t="n">
        <x:f>SUMIFS('05_品牌价格来源'!$G$5:$G$40,'05_品牌价格来源'!$M$5:$M$40,A17&amp;"|economy")</x:f>
        <x:v>280</x:v>
      </x:c>
      <x:c r="T17" s="44" t="n">
        <x:f>ROUND(K17*R17,2)</x:f>
        <x:v>720</x:v>
      </x:c>
      <x:c r="U17" s="44" t="n">
        <x:f>ROUND(K17*S17,2)</x:f>
        <x:v>1680</x:v>
      </x:c>
      <x:c r="V17" s="22" t="str">
        <x:v>专业深化</x:v>
      </x:c>
      <x:c r="W17" s="22" t="str">
        <x:v>暂估6套，位置与除湿消防协调</x:v>
      </x:c>
    </x:row>
    <x:row r="18">
      <x:c r="A18" s="22" t="str">
        <x:v>moisture_downlight</x:v>
      </x:c>
      <x:c r="B18" s="22" t="str">
        <x:v>灯具</x:v>
      </x:c>
      <x:c r="C18" s="22" t="str">
        <x:v>基础照明</x:v>
      </x:c>
      <x:c r="D18" s="22" t="str">
        <x:v>白色小型无边/微边防眩</x:v>
      </x:c>
      <x:c r="E18" s="22" t="str">
        <x:v>约7–10W，开孔55–75 mm</x:v>
      </x:c>
      <x:c r="F18" s="22" t="str">
        <x:v>4000K；建议Ra≥90、SDCM≤3；汤池区正面建议IP65</x:v>
      </x:c>
      <x:c r="G18" s="22" t="str">
        <x:v>套</x:v>
      </x:c>
      <x:c r="H18" s="22" t="str">
        <x:v>Q_DOWNLIGHT</x:v>
      </x:c>
      <x:c r="I18" s="52" t="n">
        <x:f>IFERROR(INDEX('03_工程量依据'!$G$5:$G$22,MATCH(H18,'03_工程量依据'!$F$5:$F$22,0)),0)</x:f>
        <x:v>32</x:v>
      </x:c>
      <x:c r="J18" s="27" t="n">
        <x:v>0.05</x:v>
      </x:c>
      <x:c r="K18" s="52" t="n">
        <x:f>IF(OR(G18="套",G18="座",G18="个"),ROUNDUP(I18*(1+J18),0),ROUNDUP(I18*(1+J18),2))</x:f>
        <x:v>34</x:v>
      </x:c>
      <x:c r="L18" s="22" t="str">
        <x:f>IFERROR(INDEX('05_品牌价格来源'!$C$5:$C$40,SUMIFS('05_品牌价格来源'!$N$5:$N$40,'05_品牌价格来源'!$M$5:$M$40,A18&amp;"|mid"))&amp;"｜"&amp;INDEX('05_品牌价格来源'!$D$5:$D$40,SUMIFS('05_品牌价格来源'!$N$5:$N$40,'05_品牌价格来源'!$M$5:$M$40,A18&amp;"|mid")),"")</x:f>
        <x:v>欧普照明｜7–10W、4000K、Ra≥90、小型白色防潮/防水筒灯，汤池区正面建议IP65</x:v>
      </x:c>
      <x:c r="M18" s="44" t="n">
        <x:f>SUMIFS('05_品牌价格来源'!$F$5:$F$40,'05_品牌价格来源'!$M$5:$M$40,A18&amp;"|mid")</x:f>
        <x:v>90</x:v>
      </x:c>
      <x:c r="N18" s="44" t="n">
        <x:f>SUMIFS('05_品牌价格来源'!$G$5:$G$40,'05_品牌价格来源'!$M$5:$M$40,A18&amp;"|mid")</x:f>
        <x:v>180</x:v>
      </x:c>
      <x:c r="O18" s="44" t="n">
        <x:f>ROUND(K18*M18,2)</x:f>
        <x:v>3060</x:v>
      </x:c>
      <x:c r="P18" s="44" t="n">
        <x:f>ROUND(K18*N18,2)</x:f>
        <x:v>6120</x:v>
      </x:c>
      <x:c r="Q18" s="44" t="str">
        <x:f>IFERROR(INDEX('05_品牌价格来源'!$C$5:$C$40,SUMIFS('05_品牌价格来源'!$N$5:$N$40,'05_品牌价格来源'!$M$5:$M$40,A18&amp;"|economy"))&amp;"｜"&amp;INDEX('05_品牌价格来源'!$D$5:$D$40,SUMIFS('05_品牌价格来源'!$N$5:$N$40,'05_品牌价格来源'!$M$5:$M$40,A18&amp;"|economy")),"")</x:f>
        <x:v>三雄极光/雷士同档｜7–9W、4000K、小型白色防潮筒灯，性能满足湿区分区要求</x:v>
      </x:c>
      <x:c r="R18" s="44" t="n">
        <x:f>SUMIFS('05_品牌价格来源'!$F$5:$F$40,'05_品牌价格来源'!$M$5:$M$40,A18&amp;"|economy")</x:f>
        <x:v>55</x:v>
      </x:c>
      <x:c r="S18" s="44" t="n">
        <x:f>SUMIFS('05_品牌价格来源'!$G$5:$G$40,'05_品牌价格来源'!$M$5:$M$40,A18&amp;"|economy")</x:f>
        <x:v>90</x:v>
      </x:c>
      <x:c r="T18" s="44" t="n">
        <x:f>ROUND(K18*R18,2)</x:f>
        <x:v>1870</x:v>
      </x:c>
      <x:c r="U18" s="44" t="n">
        <x:f>ROUND(K18*S18,2)</x:f>
        <x:v>3060</x:v>
      </x:c>
      <x:c r="V18" s="22" t="str">
        <x:v>专业深化</x:v>
      </x:c>
      <x:c r="W18" s="22" t="str">
        <x:v>数量、功率、间距和开孔经照度及吊顶深化</x:v>
      </x:c>
    </x:row>
    <x:row r="19">
      <x:c r="A19" s="22" t="str">
        <x:v>ip67_linear_light</x:v>
      </x:c>
      <x:c r="B19" s="22" t="str">
        <x:v>灯具</x:v>
      </x:c>
      <x:c r="C19" s="22" t="str">
        <x:v>隐藏线性灯</x:v>
      </x:c>
      <x:c r="D19" s="22" t="str">
        <x:v>连续中性白柔光</x:v>
      </x:c>
      <x:c r="E19" s="22" t="str">
        <x:v>24V，4000K</x:v>
      </x:c>
      <x:c r="F19" s="22" t="str">
        <x:v>建议Ra≥90；临水易结露段建议IP67</x:v>
      </x:c>
      <x:c r="G19" s="22" t="str">
        <x:v>m</x:v>
      </x:c>
      <x:c r="H19" s="22" t="str">
        <x:v>Q_LINEAR_LIGHT</x:v>
      </x:c>
      <x:c r="I19" s="52" t="n">
        <x:f>IFERROR(INDEX('03_工程量依据'!$G$5:$G$22,MATCH(H19,'03_工程量依据'!$F$5:$F$22,0)),0)</x:f>
        <x:v>40</x:v>
      </x:c>
      <x:c r="J19" s="27" t="n">
        <x:v>0.08</x:v>
      </x:c>
      <x:c r="K19" s="52" t="n">
        <x:f>IF(OR(G19="套",G19="座",G19="个"),ROUNDUP(I19*(1+J19),0),ROUNDUP(I19*(1+J19),2))</x:f>
        <x:v>43.2</x:v>
      </x:c>
      <x:c r="L19" s="22" t="str">
        <x:f>IFERROR(INDEX('05_品牌价格来源'!$C$5:$C$40,SUMIFS('05_品牌价格来源'!$N$5:$N$40,'05_品牌价格来源'!$M$5:$M$40,A19&amp;"|mid"))&amp;"｜"&amp;INDEX('05_品牌价格来源'!$D$5:$D$40,SUMIFS('05_品牌价格来源'!$N$5:$N$40,'05_品牌价格来源'!$M$5:$M$40,A19&amp;"|mid")),"")</x:f>
        <x:v>欧普照明｜24V、4000K、Ra≥90灯带，临水段增加IP67套管/灌胶防护</x:v>
      </x:c>
      <x:c r="M19" s="44" t="n">
        <x:f>SUMIFS('05_品牌价格来源'!$F$5:$F$40,'05_品牌价格来源'!$M$5:$M$40,A19&amp;"|mid")</x:f>
        <x:v>55</x:v>
      </x:c>
      <x:c r="N19" s="44" t="n">
        <x:f>SUMIFS('05_品牌价格来源'!$G$5:$G$40,'05_品牌价格来源'!$M$5:$M$40,A19&amp;"|mid")</x:f>
        <x:v>95</x:v>
      </x:c>
      <x:c r="O19" s="44" t="n">
        <x:f>ROUND(K19*M19,2)</x:f>
        <x:v>2376</x:v>
      </x:c>
      <x:c r="P19" s="44" t="n">
        <x:f>ROUND(K19*N19,2)</x:f>
        <x:v>4104</x:v>
      </x:c>
      <x:c r="Q19" s="44" t="str">
        <x:f>IFERROR(INDEX('05_品牌价格来源'!$C$5:$C$40,SUMIFS('05_品牌价格来源'!$N$5:$N$40,'05_品牌价格来源'!$M$5:$M$40,A19&amp;"|economy"))&amp;"｜"&amp;INDEX('05_品牌价格来源'!$D$5:$D$40,SUMIFS('05_品牌价格来源'!$N$5:$N$40,'05_品牌价格来源'!$M$5:$M$40,A19&amp;"|economy")),"")</x:f>
        <x:v>三雄极光/广东工程灯带厂家｜24V、4000K、防水灯带，临水段IP67，显色指数建议Ra≥90</x:v>
      </x:c>
      <x:c r="R19" s="44" t="n">
        <x:f>SUMIFS('05_品牌价格来源'!$F$5:$F$40,'05_品牌价格来源'!$M$5:$M$40,A19&amp;"|economy")</x:f>
        <x:v>30</x:v>
      </x:c>
      <x:c r="S19" s="44" t="n">
        <x:f>SUMIFS('05_品牌价格来源'!$G$5:$G$40,'05_品牌价格来源'!$M$5:$M$40,A19&amp;"|economy")</x:f>
        <x:v>55</x:v>
      </x:c>
      <x:c r="T19" s="44" t="n">
        <x:f>ROUND(K19*R19,2)</x:f>
        <x:v>1296</x:v>
      </x:c>
      <x:c r="U19" s="44" t="n">
        <x:f>ROUND(K19*S19,2)</x:f>
        <x:v>2376</x:v>
      </x:c>
      <x:c r="V19" s="22" t="str">
        <x:v>专业深化</x:v>
      </x:c>
      <x:c r="W19" s="22" t="str">
        <x:v>驱动集中可检修，防水接头需复核</x:v>
      </x:c>
    </x:row>
    <x:row r="20">
      <x:c r="A20" s="22" t="str">
        <x:v>wall_washer</x:v>
      </x:c>
      <x:c r="B20" s="22" t="str">
        <x:v>灯具</x:v>
      </x:c>
      <x:c r="C20" s="22" t="str">
        <x:v>端景洗墙</x:v>
      </x:c>
      <x:c r="D20" s="22" t="str">
        <x:v>均匀洗亮浅浮雕，不照出强斑</x:v>
      </x:c>
      <x:c r="E20" s="22" t="str">
        <x:v>小型防眩洗墙灯/可调筒灯</x:v>
      </x:c>
      <x:c r="F20" s="22" t="str">
        <x:v>4000K；湿区防护；控制水面眩光</x:v>
      </x:c>
      <x:c r="G20" s="22" t="str">
        <x:v>套</x:v>
      </x:c>
      <x:c r="H20" s="22" t="str">
        <x:v>Q_WALL_WASHER</x:v>
      </x:c>
      <x:c r="I20" s="52" t="n">
        <x:f>IFERROR(INDEX('03_工程量依据'!$G$5:$G$22,MATCH(H20,'03_工程量依据'!$F$5:$F$22,0)),0)</x:f>
        <x:v>4</x:v>
      </x:c>
      <x:c r="J20" s="27" t="n">
        <x:v>0</x:v>
      </x:c>
      <x:c r="K20" s="52" t="n">
        <x:f>IF(OR(G20="套",G20="座",G20="个"),ROUNDUP(I20*(1+J20),0),ROUNDUP(I20*(1+J20),2))</x:f>
        <x:v>4</x:v>
      </x:c>
      <x:c r="L20" s="22" t="str">
        <x:f>IFERROR(INDEX('05_品牌价格来源'!$C$5:$C$40,SUMIFS('05_品牌价格来源'!$N$5:$N$40,'05_品牌价格来源'!$M$5:$M$40,A20&amp;"|mid"))&amp;"｜"&amp;INDEX('05_品牌价格来源'!$D$5:$D$40,SUMIFS('05_品牌价格来源'!$N$5:$N$40,'05_品牌价格来源'!$M$5:$M$40,A20&amp;"|mid")),"")</x:f>
        <x:v>三雄极光｜小型IP65防眩洗墙灯或嵌入式可调洗墙筒灯，4000K</x:v>
      </x:c>
      <x:c r="M20" s="44" t="n">
        <x:f>SUMIFS('05_品牌价格来源'!$F$5:$F$40,'05_品牌价格来源'!$M$5:$M$40,A20&amp;"|mid")</x:f>
        <x:v>220</x:v>
      </x:c>
      <x:c r="N20" s="44" t="n">
        <x:f>SUMIFS('05_品牌价格来源'!$G$5:$G$40,'05_品牌价格来源'!$M$5:$M$40,A20&amp;"|mid")</x:f>
        <x:v>420</x:v>
      </x:c>
      <x:c r="O20" s="44" t="n">
        <x:f>ROUND(K20*M20,2)</x:f>
        <x:v>880</x:v>
      </x:c>
      <x:c r="P20" s="44" t="n">
        <x:f>ROUND(K20*N20,2)</x:f>
        <x:v>1680</x:v>
      </x:c>
      <x:c r="Q20" s="44" t="str">
        <x:f>IFERROR(INDEX('05_品牌价格来源'!$C$5:$C$40,SUMIFS('05_品牌价格来源'!$N$5:$N$40,'05_品牌价格来源'!$M$5:$M$40,A20&amp;"|economy"))&amp;"｜"&amp;INDEX('05_品牌价格来源'!$D$5:$D$40,SUMIFS('05_品牌价格来源'!$N$5:$N$40,'05_品牌价格来源'!$M$5:$M$40,A20&amp;"|economy")),"")</x:f>
        <x:v>雷士/三雄极光标准可调筒灯｜通过配光确认的4000K可调防潮筒灯承担局部洗墙</x:v>
      </x:c>
      <x:c r="R20" s="44" t="n">
        <x:f>SUMIFS('05_品牌价格来源'!$F$5:$F$40,'05_品牌价格来源'!$M$5:$M$40,A20&amp;"|economy")</x:f>
        <x:v>100</x:v>
      </x:c>
      <x:c r="S20" s="44" t="n">
        <x:f>SUMIFS('05_品牌价格来源'!$G$5:$G$40,'05_品牌价格来源'!$M$5:$M$40,A20&amp;"|economy")</x:f>
        <x:v>220</x:v>
      </x:c>
      <x:c r="T20" s="44" t="n">
        <x:f>ROUND(K20*R20,2)</x:f>
        <x:v>400</x:v>
      </x:c>
      <x:c r="U20" s="44" t="n">
        <x:f>ROUND(K20*S20,2)</x:f>
        <x:v>880</x:v>
      </x:c>
      <x:c r="V20" s="22" t="str">
        <x:v>专业深化</x:v>
      </x:c>
      <x:c r="W20" s="22" t="str">
        <x:v>样灯确认配光；暂估4套</x:v>
      </x:c>
    </x:row>
    <x:row r="21">
      <x:c r="A21" s="22" t="str">
        <x:v>lighting_driver</x:v>
      </x:c>
      <x:c r="B21" s="22" t="str">
        <x:v>灯具</x:v>
      </x:c>
      <x:c r="C21" s="22" t="str">
        <x:v>线性灯驱动</x:v>
      </x:c>
      <x:c r="D21" s="22" t="str">
        <x:v>集中设置于可检修位置</x:v>
      </x:c>
      <x:c r="E21" s="22" t="str">
        <x:v>24V恒压驱动</x:v>
      </x:c>
      <x:c r="F21" s="22" t="str">
        <x:v>按瓦数、压降分段；高湿位置提高防护</x:v>
      </x:c>
      <x:c r="G21" s="22" t="str">
        <x:v>套</x:v>
      </x:c>
      <x:c r="H21" s="22" t="str">
        <x:v>Q_DRIVER</x:v>
      </x:c>
      <x:c r="I21" s="52" t="n">
        <x:f>IFERROR(INDEX('03_工程量依据'!$G$5:$G$22,MATCH(H21,'03_工程量依据'!$F$5:$F$22,0)),0)</x:f>
        <x:v>6</x:v>
      </x:c>
      <x:c r="J21" s="27" t="n">
        <x:v>0</x:v>
      </x:c>
      <x:c r="K21" s="52" t="n">
        <x:f>IF(OR(G21="套",G21="座",G21="个"),ROUNDUP(I21*(1+J21),0),ROUNDUP(I21*(1+J21),2))</x:f>
        <x:v>6</x:v>
      </x:c>
      <x:c r="L21" s="22" t="str">
        <x:f>IFERROR(INDEX('05_品牌价格来源'!$C$5:$C$40,SUMIFS('05_品牌价格来源'!$N$5:$N$40,'05_品牌价格来源'!$M$5:$M$40,A21&amp;"|mid"))&amp;"｜"&amp;INDEX('05_品牌价格来源'!$D$5:$D$40,SUMIFS('05_品牌价格来源'!$N$5:$N$40,'05_品牌价格来源'!$M$5:$M$40,A21&amp;"|mid")),"")</x:f>
        <x:v>明纬 MEAN WELL｜24V IP67恒压防水驱动，功率按灯带分段并保留余量</x:v>
      </x:c>
      <x:c r="M21" s="44" t="n">
        <x:f>SUMIFS('05_品牌价格来源'!$F$5:$F$40,'05_品牌价格来源'!$M$5:$M$40,A21&amp;"|mid")</x:f>
        <x:v>180</x:v>
      </x:c>
      <x:c r="N21" s="44" t="n">
        <x:f>SUMIFS('05_品牌价格来源'!$G$5:$G$40,'05_品牌价格来源'!$M$5:$M$40,A21&amp;"|mid")</x:f>
        <x:v>360</x:v>
      </x:c>
      <x:c r="O21" s="44" t="n">
        <x:f>ROUND(K21*M21,2)</x:f>
        <x:v>1080</x:v>
      </x:c>
      <x:c r="P21" s="44" t="n">
        <x:f>ROUND(K21*N21,2)</x:f>
        <x:v>2160</x:v>
      </x:c>
      <x:c r="Q21" s="44" t="str">
        <x:f>IFERROR(INDEX('05_品牌价格来源'!$C$5:$C$40,SUMIFS('05_品牌价格来源'!$N$5:$N$40,'05_品牌价格来源'!$M$5:$M$40,A21&amp;"|economy"))&amp;"｜"&amp;INDEX('05_品牌价格来源'!$D$5:$D$40,SUMIFS('05_品牌价格来源'!$N$5:$N$40,'05_品牌价格来源'!$M$5:$M$40,A21&amp;"|economy")),"")</x:f>
        <x:v>欧普/三雄极光配套防潮驱动｜24V恒压驱动，设置于可检修干燥位置并满足环境防护</x:v>
      </x:c>
      <x:c r="R21" s="44" t="n">
        <x:f>SUMIFS('05_品牌价格来源'!$F$5:$F$40,'05_品牌价格来源'!$M$5:$M$40,A21&amp;"|economy")</x:f>
        <x:v>90</x:v>
      </x:c>
      <x:c r="S21" s="44" t="n">
        <x:f>SUMIFS('05_品牌价格来源'!$G$5:$G$40,'05_品牌价格来源'!$M$5:$M$40,A21&amp;"|economy")</x:f>
        <x:v>180</x:v>
      </x:c>
      <x:c r="T21" s="44" t="n">
        <x:f>ROUND(K21*R21,2)</x:f>
        <x:v>540</x:v>
      </x:c>
      <x:c r="U21" s="44" t="n">
        <x:f>ROUND(K21*S21,2)</x:f>
        <x:v>1080</x:v>
      </x:c>
      <x:c r="V21" s="22" t="str">
        <x:v>专业深化</x:v>
      </x:c>
      <x:c r="W21" s="22" t="str">
        <x:v>暂估6套，不得密封在不可检修吊顶内</x:v>
      </x:c>
    </x:row>
    <x:row r="22">
      <x:c r="A22" s="22" t="str">
        <x:v>tile_installation</x:v>
      </x:c>
      <x:c r="B22" s="22" t="str">
        <x:v>安装费</x:v>
      </x:c>
      <x:c r="C22" s="22" t="str">
        <x:v>全部瓷砖饰面铺贴</x:v>
      </x:c>
      <x:c r="D22" s="22" t="str">
        <x:v>纯人工参考</x:v>
      </x:c>
      <x:c r="E22" s="22" t="str">
        <x:v>按净施工面积</x:v>
      </x:c>
      <x:c r="F22" s="22" t="str">
        <x:v>不含防水、找平、瓷砖胶、美缝和收口辅料</x:v>
      </x:c>
      <x:c r="G22" s="22" t="str">
        <x:v>m²</x:v>
      </x:c>
      <x:c r="H22" s="22" t="str">
        <x:v>Q_TILE_INSTALL</x:v>
      </x:c>
      <x:c r="I22" s="52" t="n">
        <x:f>IFERROR(INDEX('03_工程量依据'!$G$5:$G$22,MATCH(H22,'03_工程量依据'!$F$5:$F$22,0)),0)</x:f>
        <x:v>494.35528</x:v>
      </x:c>
      <x:c r="J22" s="27" t="n">
        <x:v>0</x:v>
      </x:c>
      <x:c r="K22" s="52" t="n">
        <x:f>IF(OR(G22="套",G22="座",G22="个"),ROUNDUP(I22*(1+J22),0),ROUNDUP(I22*(1+J22),2))</x:f>
        <x:v>494.36</x:v>
      </x:c>
      <x:c r="L22" s="22" t="str">
        <x:f>IFERROR(INDEX('05_品牌价格来源'!$C$5:$C$40,SUMIFS('05_品牌价格来源'!$N$5:$N$40,'05_品牌价格来源'!$M$5:$M$40,A22&amp;"|mid"))&amp;"｜"&amp;INDEX('05_品牌价格来源'!$D$5:$D$40,SUMIFS('05_品牌价格来源'!$N$5:$N$40,'05_品牌价格来源'!$M$5:$M$40,A22&amp;"|mid")),"")</x:f>
        <x:v>清远/英德熟练湿区铺贴班组｜纯人工铺贴，包含小砖、池壁、圆角与大板综合难度，不含辅材</x:v>
      </x:c>
      <x:c r="M22" s="44" t="n">
        <x:f>SUMIFS('05_品牌价格来源'!$F$5:$F$40,'05_品牌价格来源'!$M$5:$M$40,A22&amp;"|mid")</x:f>
        <x:v>65</x:v>
      </x:c>
      <x:c r="N22" s="44" t="n">
        <x:f>SUMIFS('05_品牌价格来源'!$G$5:$G$40,'05_品牌价格来源'!$M$5:$M$40,A22&amp;"|mid")</x:f>
        <x:v>105</x:v>
      </x:c>
      <x:c r="O22" s="44" t="n">
        <x:f>ROUND(K22*M22,2)</x:f>
        <x:v>32133.4</x:v>
      </x:c>
      <x:c r="P22" s="44" t="n">
        <x:f>ROUND(K22*N22,2)</x:f>
        <x:v>51907.8</x:v>
      </x:c>
      <x:c r="Q22" s="44" t="str">
        <x:f>IFERROR(INDEX('05_品牌价格来源'!$C$5:$C$40,SUMIFS('05_品牌价格来源'!$N$5:$N$40,'05_品牌价格来源'!$M$5:$M$40,A22&amp;"|economy"))&amp;"｜"&amp;INDEX('05_品牌价格来源'!$D$5:$D$40,SUMIFS('05_品牌价格来源'!$N$5:$N$40,'05_品牌价格来源'!$M$5:$M$40,A22&amp;"|economy")),"")</x:f>
        <x:v>清远/英德常规铺贴班组｜纯人工铺贴综合预算，不含辅材和湿区专项节点</x:v>
      </x:c>
      <x:c r="R22" s="44" t="n">
        <x:f>SUMIFS('05_品牌价格来源'!$F$5:$F$40,'05_品牌价格来源'!$M$5:$M$40,A22&amp;"|economy")</x:f>
        <x:v>40</x:v>
      </x:c>
      <x:c r="S22" s="44" t="n">
        <x:f>SUMIFS('05_品牌价格来源'!$G$5:$G$40,'05_品牌价格来源'!$M$5:$M$40,A22&amp;"|economy")</x:f>
        <x:v>65</x:v>
      </x:c>
      <x:c r="T22" s="44" t="n">
        <x:f>ROUND(K22*R22,2)</x:f>
        <x:v>19774.4</x:v>
      </x:c>
      <x:c r="U22" s="44" t="n">
        <x:f>ROUND(K22*S22,2)</x:f>
        <x:v>32133.4</x:v>
      </x:c>
      <x:c r="V22" s="22" t="str">
        <x:v>暂估</x:v>
      </x:c>
      <x:c r="W22" s="22" t="str">
        <x:v>池体小砖、大板墙砖与普通地砖应分别询价</x:v>
      </x:c>
    </x:row>
    <x:row r="23">
      <x:c r="A23" s="22" t="str">
        <x:v>ceiling_installation</x:v>
      </x:c>
      <x:c r="B23" s="22" t="str">
        <x:v>安装费</x:v>
      </x:c>
      <x:c r="C23" s="22" t="str">
        <x:v>全部吊顶安装</x:v>
      </x:c>
      <x:c r="D23" s="22" t="str">
        <x:v>纯人工参考</x:v>
      </x:c>
      <x:c r="E23" s="22" t="str">
        <x:v>按吊顶毛面积</x:v>
      </x:c>
      <x:c r="F23" s="22" t="str">
        <x:v>龙骨材料已计入吊顶系统；不含异形超高</x:v>
      </x:c>
      <x:c r="G23" s="22" t="str">
        <x:v>m²</x:v>
      </x:c>
      <x:c r="H23" s="22" t="str">
        <x:v>Q_CEILING</x:v>
      </x:c>
      <x:c r="I23" s="52" t="n">
        <x:f>IFERROR(INDEX('03_工程量依据'!$G$5:$G$22,MATCH(H23,'03_工程量依据'!$F$5:$F$22,0)),0)</x:f>
        <x:v>195.7494</x:v>
      </x:c>
      <x:c r="J23" s="27" t="n">
        <x:v>0</x:v>
      </x:c>
      <x:c r="K23" s="52" t="n">
        <x:f>IF(OR(G23="套",G23="座",G23="个"),ROUNDUP(I23*(1+J23),0),ROUNDUP(I23*(1+J23),2))</x:f>
        <x:v>195.75</x:v>
      </x:c>
      <x:c r="L23" s="22" t="str">
        <x:f>IFERROR(INDEX('05_品牌价格来源'!$C$5:$C$40,SUMIFS('05_品牌价格来源'!$N$5:$N$40,'05_品牌价格来源'!$M$5:$M$40,A23&amp;"|mid"))&amp;"｜"&amp;INDEX('05_品牌价格来源'!$D$5:$D$40,SUMIFS('05_品牌价格来源'!$N$5:$N$40,'05_品牌价格来源'!$M$5:$M$40,A23&amp;"|mid")),"")</x:f>
        <x:v>主吊顶厂家专业安装队｜铝蜂窝/铝扣板系统安装纯人工，含常规排版和检修口配合</x:v>
      </x:c>
      <x:c r="M23" s="44" t="n">
        <x:f>SUMIFS('05_品牌价格来源'!$F$5:$F$40,'05_品牌价格来源'!$M$5:$M$40,A23&amp;"|mid")</x:f>
        <x:v>55</x:v>
      </x:c>
      <x:c r="N23" s="44" t="n">
        <x:f>SUMIFS('05_品牌价格来源'!$G$5:$G$40,'05_品牌价格来源'!$M$5:$M$40,A23&amp;"|mid")</x:f>
        <x:v>90</x:v>
      </x:c>
      <x:c r="O23" s="44" t="n">
        <x:f>ROUND(K23*M23,2)</x:f>
        <x:v>10766.25</x:v>
      </x:c>
      <x:c r="P23" s="44" t="n">
        <x:f>ROUND(K23*N23,2)</x:f>
        <x:v>17617.5</x:v>
      </x:c>
      <x:c r="Q23" s="44" t="str">
        <x:f>IFERROR(INDEX('05_品牌价格来源'!$C$5:$C$40,SUMIFS('05_品牌价格来源'!$N$5:$N$40,'05_品牌价格来源'!$M$5:$M$40,A23&amp;"|economy"))&amp;"｜"&amp;INDEX('05_品牌价格来源'!$D$5:$D$40,SUMIFS('05_品牌价格来源'!$N$5:$N$40,'05_品牌价格来源'!$M$5:$M$40,A23&amp;"|economy")),"")</x:f>
        <x:v>清远本地铝扣板安装班组｜标准600×600铝扣板系统安装纯人工</x:v>
      </x:c>
      <x:c r="R23" s="44" t="n">
        <x:f>SUMIFS('05_品牌价格来源'!$F$5:$F$40,'05_品牌价格来源'!$M$5:$M$40,A23&amp;"|economy")</x:f>
        <x:v>35</x:v>
      </x:c>
      <x:c r="S23" s="44" t="n">
        <x:f>SUMIFS('05_品牌价格来源'!$G$5:$G$40,'05_品牌价格来源'!$M$5:$M$40,A23&amp;"|economy")</x:f>
        <x:v>55</x:v>
      </x:c>
      <x:c r="T23" s="44" t="n">
        <x:f>ROUND(K23*R23,2)</x:f>
        <x:v>6851.25</x:v>
      </x:c>
      <x:c r="U23" s="44" t="n">
        <x:f>ROUND(K23*S23,2)</x:f>
        <x:v>10766.25</x:v>
      </x:c>
      <x:c r="V23" s="22" t="str">
        <x:v>暂估</x:v>
      </x:c>
      <x:c r="W23" s="22" t="str">
        <x:v>厂家安装优先，灯槽和检修口配合另确认</x:v>
      </x:c>
    </x:row>
    <x:row r="24">
      <x:c r="A24" s="22" t="str">
        <x:v>point_light_installation</x:v>
      </x:c>
      <x:c r="B24" s="22" t="str">
        <x:v>安装费</x:v>
      </x:c>
      <x:c r="C24" s="22" t="str">
        <x:v>筒灯及洗墙灯安装</x:v>
      </x:c>
      <x:c r="D24" s="22" t="str">
        <x:v>持证电工纯人工</x:v>
      </x:c>
      <x:c r="E24" s="22" t="str">
        <x:v>按灯位</x:v>
      </x:c>
      <x:c r="F24" s="22" t="str">
        <x:v>含定位开孔接线；不含线管配线及配电改造</x:v>
      </x:c>
      <x:c r="G24" s="22" t="str">
        <x:v>套</x:v>
      </x:c>
      <x:c r="H24" s="22" t="str">
        <x:v>Q_POINT_LIGHT_INSTALL</x:v>
      </x:c>
      <x:c r="I24" s="52" t="n">
        <x:f>IFERROR(INDEX('03_工程量依据'!$G$5:$G$22,MATCH(H24,'03_工程量依据'!$F$5:$F$22,0)),0)</x:f>
        <x:v>36</x:v>
      </x:c>
      <x:c r="J24" s="27" t="n">
        <x:v>0</x:v>
      </x:c>
      <x:c r="K24" s="52" t="n">
        <x:f>IF(OR(G24="套",G24="座",G24="个"),ROUNDUP(I24*(1+J24),0),ROUNDUP(I24*(1+J24),2))</x:f>
        <x:v>36</x:v>
      </x:c>
      <x:c r="L24" s="22" t="str">
        <x:f>IFERROR(INDEX('05_品牌价格来源'!$C$5:$C$40,SUMIFS('05_品牌价格来源'!$N$5:$N$40,'05_品牌价格来源'!$M$5:$M$40,A24&amp;"|mid"))&amp;"｜"&amp;INDEX('05_品牌价格来源'!$D$5:$D$40,SUMIFS('05_品牌价格来源'!$N$5:$N$40,'05_品牌价格来源'!$M$5:$M$40,A24&amp;"|mid")),"")</x:f>
        <x:v>持证电工/照明安装班组｜筒灯、洗墙灯单点安装，含开孔定位与接线，不含线管配线</x:v>
      </x:c>
      <x:c r="M24" s="44" t="n">
        <x:f>SUMIFS('05_品牌价格来源'!$F$5:$F$40,'05_品牌价格来源'!$M$5:$M$40,A24&amp;"|mid")</x:f>
        <x:v>30</x:v>
      </x:c>
      <x:c r="N24" s="44" t="n">
        <x:f>SUMIFS('05_品牌价格来源'!$G$5:$G$40,'05_品牌价格来源'!$M$5:$M$40,A24&amp;"|mid")</x:f>
        <x:v>55</x:v>
      </x:c>
      <x:c r="O24" s="44" t="n">
        <x:f>ROUND(K24*M24,2)</x:f>
        <x:v>1080</x:v>
      </x:c>
      <x:c r="P24" s="44" t="n">
        <x:f>ROUND(K24*N24,2)</x:f>
        <x:v>1980</x:v>
      </x:c>
      <x:c r="Q24" s="44" t="str">
        <x:f>IFERROR(INDEX('05_品牌价格来源'!$C$5:$C$40,SUMIFS('05_品牌价格来源'!$N$5:$N$40,'05_品牌价格来源'!$M$5:$M$40,A24&amp;"|economy"))&amp;"｜"&amp;INDEX('05_品牌价格来源'!$D$5:$D$40,SUMIFS('05_品牌价格来源'!$N$5:$N$40,'05_品牌价格来源'!$M$5:$M$40,A24&amp;"|economy")),"")</x:f>
        <x:v>清远本地持证电工｜标准筒灯/洗墙灯单点安装，不含线路改造</x:v>
      </x:c>
      <x:c r="R24" s="44" t="n">
        <x:f>SUMIFS('05_品牌价格来源'!$F$5:$F$40,'05_品牌价格来源'!$M$5:$M$40,A24&amp;"|economy")</x:f>
        <x:v>20</x:v>
      </x:c>
      <x:c r="S24" s="44" t="n">
        <x:f>SUMIFS('05_品牌价格来源'!$G$5:$G$40,'05_品牌价格来源'!$M$5:$M$40,A24&amp;"|economy")</x:f>
        <x:v>35</x:v>
      </x:c>
      <x:c r="T24" s="44" t="n">
        <x:f>ROUND(K24*R24,2)</x:f>
        <x:v>720</x:v>
      </x:c>
      <x:c r="U24" s="44" t="n">
        <x:f>ROUND(K24*S24,2)</x:f>
        <x:v>1260</x:v>
      </x:c>
      <x:c r="V24" s="22" t="str">
        <x:v>暂估</x:v>
      </x:c>
      <x:c r="W24" s="22" t="str">
        <x:v>与铝板开孔和照度定位联合深化</x:v>
      </x:c>
    </x:row>
    <x:row r="25">
      <x:c r="A25" s="22" t="str">
        <x:v>linear_light_installation</x:v>
      </x:c>
      <x:c r="B25" s="22" t="str">
        <x:v>安装费</x:v>
      </x:c>
      <x:c r="C25" s="22" t="str">
        <x:v>灯带与型材安装调试</x:v>
      </x:c>
      <x:c r="D25" s="22" t="str">
        <x:v>持证电工/厂家纯人工</x:v>
      </x:c>
      <x:c r="E25" s="22" t="str">
        <x:v>按延米</x:v>
      </x:c>
      <x:c r="F25" s="22" t="str">
        <x:v>不含新增线路；含常规接头和调试</x:v>
      </x:c>
      <x:c r="G25" s="22" t="str">
        <x:v>m</x:v>
      </x:c>
      <x:c r="H25" s="22" t="str">
        <x:v>Q_LINEAR_LIGHT</x:v>
      </x:c>
      <x:c r="I25" s="52" t="n">
        <x:f>IFERROR(INDEX('03_工程量依据'!$G$5:$G$22,MATCH(H25,'03_工程量依据'!$F$5:$F$22,0)),0)</x:f>
        <x:v>40</x:v>
      </x:c>
      <x:c r="J25" s="27" t="n">
        <x:v>0</x:v>
      </x:c>
      <x:c r="K25" s="52" t="n">
        <x:f>IF(OR(G25="套",G25="座",G25="个"),ROUNDUP(I25*(1+J25),0),ROUNDUP(I25*(1+J25),2))</x:f>
        <x:v>40</x:v>
      </x:c>
      <x:c r="L25" s="22" t="str">
        <x:f>IFERROR(INDEX('05_品牌价格来源'!$C$5:$C$40,SUMIFS('05_品牌价格来源'!$N$5:$N$40,'05_品牌价格来源'!$M$5:$M$40,A25&amp;"|mid"))&amp;"｜"&amp;INDEX('05_品牌价格来源'!$D$5:$D$40,SUMIFS('05_品牌价格来源'!$N$5:$N$40,'05_品牌价格来源'!$M$5:$M$40,A25&amp;"|mid")),"")</x:f>
        <x:v>照明厂家授权安装/持证电工｜灯槽、灯带、接头和分段调试综合安装，不含新增线路</x:v>
      </x:c>
      <x:c r="M25" s="44" t="n">
        <x:f>SUMIFS('05_品牌价格来源'!$F$5:$F$40,'05_品牌价格来源'!$M$5:$M$40,A25&amp;"|mid")</x:f>
        <x:v>30</x:v>
      </x:c>
      <x:c r="N25" s="44" t="n">
        <x:f>SUMIFS('05_品牌价格来源'!$G$5:$G$40,'05_品牌价格来源'!$M$5:$M$40,A25&amp;"|mid")</x:f>
        <x:v>60</x:v>
      </x:c>
      <x:c r="O25" s="44" t="n">
        <x:f>ROUND(K25*M25,2)</x:f>
        <x:v>1200</x:v>
      </x:c>
      <x:c r="P25" s="44" t="n">
        <x:f>ROUND(K25*N25,2)</x:f>
        <x:v>2400</x:v>
      </x:c>
      <x:c r="Q25" s="44" t="str">
        <x:f>IFERROR(INDEX('05_品牌价格来源'!$C$5:$C$40,SUMIFS('05_品牌价格来源'!$N$5:$N$40,'05_品牌价格来源'!$M$5:$M$40,A25&amp;"|economy"))&amp;"｜"&amp;INDEX('05_品牌价格来源'!$D$5:$D$40,SUMIFS('05_品牌价格来源'!$N$5:$N$40,'05_品牌价格来源'!$M$5:$M$40,A25&amp;"|economy")),"")</x:f>
        <x:v>清远本地持证电工｜标准直线灯带安装与接线，不含新增线路</x:v>
      </x:c>
      <x:c r="R25" s="44" t="n">
        <x:f>SUMIFS('05_品牌价格来源'!$F$5:$F$40,'05_品牌价格来源'!$M$5:$M$40,A25&amp;"|economy")</x:f>
        <x:v>18</x:v>
      </x:c>
      <x:c r="S25" s="44" t="n">
        <x:f>SUMIFS('05_品牌价格来源'!$G$5:$G$40,'05_品牌价格来源'!$M$5:$M$40,A25&amp;"|economy")</x:f>
        <x:v>30</x:v>
      </x:c>
      <x:c r="T25" s="44" t="n">
        <x:f>ROUND(K25*R25,2)</x:f>
        <x:v>720</x:v>
      </x:c>
      <x:c r="U25" s="44" t="n">
        <x:f>ROUND(K25*S25,2)</x:f>
        <x:v>1200</x:v>
      </x:c>
      <x:c r="V25" s="22" t="str">
        <x:v>暂估</x:v>
      </x:c>
      <x:c r="W25" s="22" t="str">
        <x:v>转角、防水接头和长距离压降另核</x:v>
      </x:c>
    </x:row>
  </x:sheetData>
  <x:mergeCells>
    <x:mergeCell ref="A1:W1"/>
    <x:mergeCell ref="A2:W2"/>
    <x:mergeCell ref="A3:W3"/>
  </x:mergeCells>
  <x:conditionalFormatting sqref="V6:V25">
    <x:cfRule type="containsText" dxfId="2" priority="1" operator="containsText" text="暂估"/>
    <x:cfRule type="containsText" dxfId="3" priority="2" operator="containsText" text="现场复尺"/>
    <x:cfRule type="containsText" dxfId="4" priority="3" operator="containsText" text="专业深化"/>
    <x:cfRule type="containsText" dxfId="5" priority="4" operator="containsText" text="可询价"/>
  </x:conditionalFormatting>
  <x:dataValidations count="1">
    <x:dataValidation type="list" sqref="V6:V25">
      <x:formula1>"图纸计算,暂估,现场复尺,专业深化,可询价"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d0c9f7667945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30" hidden="0" customWidth="1"/>
    <x:col min="5" max="5" width="3" hidden="0" customWidth="1"/>
    <x:col min="6" max="6" width="24" hidden="0" customWidth="1"/>
    <x:col min="7" max="7" width="16" hidden="0" customWidth="1"/>
    <x:col min="8" max="8" width="22" hidden="0" customWidth="1"/>
  </x:cols>
  <x:sheetData>
    <x:row r="1" ht="34" customHeight="1">
      <x:c r="A1" s="4" t="str">
        <x:v>汤泉 B 方案｜工程量依据与可编辑输入</x:v>
      </x:c>
      <x:c r="B1" s="4" t="str">
        <x:v>汤泉 B 方案｜工程量依据与可编辑输入</x:v>
      </x:c>
      <x:c r="C1" s="4" t="str">
        <x:v>汤泉 B 方案｜工程量依据与可编辑输入</x:v>
      </x:c>
      <x:c r="D1" s="4" t="str">
        <x:v>汤泉 B 方案｜工程量依据与可编辑输入</x:v>
      </x:c>
      <x:c r="E1" s="4" t="str">
        <x:v>汤泉 B 方案｜工程量依据与可编辑输入</x:v>
      </x:c>
      <x:c r="F1" s="4" t="str">
        <x:v>汤泉 B 方案｜工程量依据与可编辑输入</x:v>
      </x:c>
      <x:c r="G1" s="4" t="str">
        <x:v>汤泉 B 方案｜工程量依据与可编辑输入</x:v>
      </x:c>
      <x:c r="H1" s="4" t="str">
        <x:v>汤泉 B 方案｜工程量依据与可编辑输入</x:v>
      </x:c>
    </x:row>
    <x:row r="2" ht="34" customHeight="1">
      <x:c r="A2" s="9" t="str">
        <x:v>黄色单元格为暂估输入；绿色单元格为公式结果。尺寸单位为 m，面积单位为 m²。修改前须先完成现场复尺与专业深化。</x:v>
      </x:c>
      <x:c r="B2" s="9" t="str">
        <x:v>黄色单元格为暂估输入；绿色单元格为公式结果。尺寸单位为 m，面积单位为 m²。修改前须先完成现场复尺与专业深化。</x:v>
      </x:c>
      <x:c r="C2" s="9" t="str">
        <x:v>黄色单元格为暂估输入；绿色单元格为公式结果。尺寸单位为 m，面积单位为 m²。修改前须先完成现场复尺与专业深化。</x:v>
      </x:c>
      <x:c r="D2" s="9" t="str">
        <x:v>黄色单元格为暂估输入；绿色单元格为公式结果。尺寸单位为 m，面积单位为 m²。修改前须先完成现场复尺与专业深化。</x:v>
      </x:c>
      <x:c r="E2" s="9" t="str">
        <x:v>黄色单元格为暂估输入；绿色单元格为公式结果。尺寸单位为 m，面积单位为 m²。修改前须先完成现场复尺与专业深化。</x:v>
      </x:c>
      <x:c r="F2" s="9" t="str">
        <x:v>黄色单元格为暂估输入；绿色单元格为公式结果。尺寸单位为 m，面积单位为 m²。修改前须先完成现场复尺与专业深化。</x:v>
      </x:c>
      <x:c r="G2" s="9" t="str">
        <x:v>黄色单元格为暂估输入；绿色单元格为公式结果。尺寸单位为 m，面积单位为 m²。修改前须先完成现场复尺与专业深化。</x:v>
      </x:c>
      <x:c r="H2" s="9" t="str">
        <x:v>黄色单元格为暂估输入；绿色单元格为公式结果。尺寸单位为 m，面积单位为 m²。修改前须先完成现场复尺与专业深化。</x:v>
      </x:c>
    </x:row>
    <x:row r="4" ht="34" customHeight="1">
      <x:c r="A4" s="15" t="str">
        <x:v>输入项</x:v>
      </x:c>
      <x:c r="B4" s="15" t="str">
        <x:v>数值</x:v>
      </x:c>
      <x:c r="C4" s="15" t="str">
        <x:v>单位</x:v>
      </x:c>
      <x:c r="D4" s="15" t="str">
        <x:v>依据/状态</x:v>
      </x:c>
      <x:c r="F4" s="15" t="str">
        <x:v>工程量编码</x:v>
      </x:c>
      <x:c r="G4" s="15" t="str">
        <x:v>净工程量</x:v>
      </x:c>
      <x:c r="H4" s="15" t="str">
        <x:v>计算状态</x:v>
      </x:c>
    </x:row>
    <x:row r="5">
      <x:c r="A5" s="21" t="str">
        <x:v>汤池数量</x:v>
      </x:c>
      <x:c r="B5" s="25" t="n">
        <x:v>2</x:v>
      </x:c>
      <x:c r="C5" s="21" t="str">
        <x:v>座</x:v>
      </x:c>
      <x:c r="D5" s="21" t="str">
        <x:v>图纸确认</x:v>
      </x:c>
      <x:c r="F5" s="21" t="str">
        <x:v>Q_POOL_BOTTOM</x:v>
      </x:c>
      <x:c r="G5" s="30" t="n">
        <x:f>B5*B6*B7</x:f>
        <x:v>69.3664</x:v>
      </x:c>
      <x:c r="H5" s="21" t="str">
        <x:v>图纸计算</x:v>
      </x:c>
    </x:row>
    <x:row r="6">
      <x:c r="A6" s="22" t="str">
        <x:v>每池池内长度</x:v>
      </x:c>
      <x:c r="B6" s="26" t="n">
        <x:v>8.18</x:v>
      </x:c>
      <x:c r="C6" s="22" t="str">
        <x:v>m</x:v>
      </x:c>
      <x:c r="D6" s="22" t="str">
        <x:v>平面图</x:v>
      </x:c>
      <x:c r="F6" s="22" t="str">
        <x:v>Q_POOL_WALL</x:v>
      </x:c>
      <x:c r="G6" s="31" t="n">
        <x:f>B5*2*(B6+B7)*B8</x:f>
        <x:v>42.228</x:v>
      </x:c>
      <x:c r="H6" s="22" t="str">
        <x:v>剖面暂估</x:v>
      </x:c>
    </x:row>
    <x:row r="7">
      <x:c r="A7" s="22" t="str">
        <x:v>每池池内宽度</x:v>
      </x:c>
      <x:c r="B7" s="26" t="n">
        <x:v>4.24</x:v>
      </x:c>
      <x:c r="C7" s="22" t="str">
        <x:v>m</x:v>
      </x:c>
      <x:c r="D7" s="22" t="str">
        <x:v>平面图</x:v>
      </x:c>
      <x:c r="F7" s="22" t="str">
        <x:v>Q_POOL_COPING</x:v>
      </x:c>
      <x:c r="G7" s="31" t="n">
        <x:f>B5*((B6+2*B9)*(B7+2*B9)-B6*B7)</x:f>
        <x:v>12.920000000000002</x:v>
      </x:c>
      <x:c r="H7" s="22" t="str">
        <x:v>池沿宽度暂估</x:v>
      </x:c>
    </x:row>
    <x:row r="8">
      <x:c r="A8" s="22" t="str">
        <x:v>池底至池沿完成面高度</x:v>
      </x:c>
      <x:c r="B8" s="26" t="n">
        <x:v>0.85</x:v>
      </x:c>
      <x:c r="C8" s="22" t="str">
        <x:v>m</x:v>
      </x:c>
      <x:c r="D8" s="22" t="str">
        <x:v>剖面图；不是实际水深</x:v>
      </x:c>
      <x:c r="F8" s="22" t="str">
        <x:v>Q_BATH_DECK</x:v>
      </x:c>
      <x:c r="G8" s="31" t="n">
        <x:f>B5*B10*B11-G5-G7</x:f>
        <x:v>31.942399999999992</x:v>
      </x:c>
      <x:c r="H8" s="22" t="str">
        <x:v>图纸计算</x:v>
      </x:c>
    </x:row>
    <x:row r="9">
      <x:c r="A9" s="22" t="str">
        <x:v>池沿暂估宽度</x:v>
      </x:c>
      <x:c r="B9" s="26" t="n">
        <x:v>0.25</x:v>
      </x:c>
      <x:c r="C9" s="22" t="str">
        <x:v>m</x:v>
      </x:c>
      <x:c r="D9" s="22" t="str">
        <x:v>概算输入；现场复尺</x:v>
      </x:c>
      <x:c r="F9" s="22" t="str">
        <x:v>Q_SUPPORT_FLOOR</x:v>
      </x:c>
      <x:c r="G9" s="31" t="n">
        <x:f>B14*B12*B13</x:f>
        <x:v>66.30008000000001</x:v>
      </x:c>
      <x:c r="H9" s="22" t="str">
        <x:v>图纸计算</x:v>
      </x:c>
    </x:row>
    <x:row r="10">
      <x:c r="A10" s="22" t="str">
        <x:v>每个汤池区长度</x:v>
      </x:c>
      <x:c r="B10" s="26" t="n">
        <x:v>8.68</x:v>
      </x:c>
      <x:c r="C10" s="22" t="str">
        <x:v>m</x:v>
      </x:c>
      <x:c r="D10" s="22" t="str">
        <x:v>平面图</x:v>
      </x:c>
      <x:c r="F10" s="22" t="str">
        <x:v>Q_POOL_STEPS</x:v>
      </x:c>
      <x:c r="G10" s="31" t="n">
        <x:f>B15</x:f>
        <x:v>18</x:v>
      </x:c>
      <x:c r="H10" s="22" t="str">
        <x:v>剖面暂估</x:v>
      </x:c>
    </x:row>
    <x:row r="11">
      <x:c r="A11" s="22" t="str">
        <x:v>每个汤池区宽度</x:v>
      </x:c>
      <x:c r="B11" s="26" t="n">
        <x:v>6.58</x:v>
      </x:c>
      <x:c r="C11" s="22" t="str">
        <x:v>m</x:v>
      </x:c>
      <x:c r="D11" s="22" t="str">
        <x:v>平面图</x:v>
      </x:c>
      <x:c r="F11" s="22" t="str">
        <x:v>Q_WALL_GROSS</x:v>
      </x:c>
      <x:c r="G11" s="31" t="n">
        <x:f>B14*2*((B12+B10)+B11)*B16-B17*B18*B19</x:f>
        <x:v>253.59840000000003</x:v>
      </x:c>
      <x:c r="H11" s="22" t="str">
        <x:v>洞口需复尺</x:v>
      </x:c>
    </x:row>
    <x:row r="12">
      <x:c r="A12" s="22" t="str">
        <x:v>每个过渡区长度</x:v>
      </x:c>
      <x:c r="B12" s="26" t="n">
        <x:v>5.038</x:v>
      </x:c>
      <x:c r="C12" s="22" t="str">
        <x:v>m</x:v>
      </x:c>
      <x:c r="D12" s="22" t="str">
        <x:v>平面图</x:v>
      </x:c>
      <x:c r="F12" s="22" t="str">
        <x:v>Q_WALL_TILE</x:v>
      </x:c>
      <x:c r="G12" s="31" t="n">
        <x:f>G11-B20</x:f>
        <x:v>237.59840000000003</x:v>
      </x:c>
      <x:c r="H12" s="22" t="str">
        <x:v>已扣端景暂估</x:v>
      </x:c>
    </x:row>
    <x:row r="13">
      <x:c r="A13" s="22" t="str">
        <x:v>每个过渡区宽度</x:v>
      </x:c>
      <x:c r="B13" s="26" t="n">
        <x:v>6.58</x:v>
      </x:c>
      <x:c r="C13" s="22" t="str">
        <x:v>m</x:v>
      </x:c>
      <x:c r="D13" s="22" t="str">
        <x:v>平面图</x:v>
      </x:c>
      <x:c r="F13" s="22" t="str">
        <x:v>Q_FEATURE_TILE</x:v>
      </x:c>
      <x:c r="G13" s="31" t="n">
        <x:f>B20</x:f>
        <x:v>16</x:v>
      </x:c>
      <x:c r="H13" s="22" t="str">
        <x:v>面积暂估</x:v>
      </x:c>
    </x:row>
    <x:row r="14">
      <x:c r="A14" s="22" t="str">
        <x:v>房间数量</x:v>
      </x:c>
      <x:c r="B14" s="26" t="n">
        <x:v>2</x:v>
      </x:c>
      <x:c r="C14" s="22" t="str">
        <x:v>间</x:v>
      </x:c>
      <x:c r="D14" s="22" t="str">
        <x:v>男汤+女汤</x:v>
      </x:c>
      <x:c r="F14" s="22" t="str">
        <x:v>Q_CEILING</x:v>
      </x:c>
      <x:c r="G14" s="31" t="n">
        <x:f>B21*B22</x:f>
        <x:v>195.7494</x:v>
      </x:c>
      <x:c r="H14" s="22" t="str">
        <x:v>毛面积暂估</x:v>
      </x:c>
    </x:row>
    <x:row r="15">
      <x:c r="A15" s="22" t="str">
        <x:v>坐台/入池展开暂估</x:v>
      </x:c>
      <x:c r="B15" s="26" t="n">
        <x:v>18</x:v>
      </x:c>
      <x:c r="C15" s="22" t="str">
        <x:v>m²</x:v>
      </x:c>
      <x:c r="D15" s="22" t="str">
        <x:v>剖面暂估；须深化</x:v>
      </x:c>
      <x:c r="F15" s="22" t="str">
        <x:v>Q_WOODGRAIN_UPGRADE</x:v>
      </x:c>
      <x:c r="G15" s="31" t="n">
        <x:f>G14*B23</x:f>
        <x:v>29.36241</x:v>
      </x:c>
      <x:c r="H15" s="22" t="str">
        <x:v>按比例暂估</x:v>
      </x:c>
    </x:row>
    <x:row r="16">
      <x:c r="A16" s="22" t="str">
        <x:v>墙砖计算高度</x:v>
      </x:c>
      <x:c r="B16" s="26" t="n">
        <x:v>3.2</x:v>
      </x:c>
      <x:c r="C16" s="22" t="str">
        <x:v>m</x:v>
      </x:c>
      <x:c r="D16" s="22" t="str">
        <x:v>概念净高3200 mm</x:v>
      </x:c>
      <x:c r="F16" s="22" t="str">
        <x:v>Q_ACCESS_HATCH</x:v>
      </x:c>
      <x:c r="G16" s="31" t="n">
        <x:f>B24</x:f>
        <x:v>6</x:v>
      </x:c>
      <x:c r="H16" s="22" t="str">
        <x:v>点位深化</x:v>
      </x:c>
    </x:row>
    <x:row r="17">
      <x:c r="A17" s="22" t="str">
        <x:v>暂扣入口数量</x:v>
      </x:c>
      <x:c r="B17" s="26" t="n">
        <x:v>2</x:v>
      </x:c>
      <x:c r="C17" s="22" t="str">
        <x:v>个</x:v>
      </x:c>
      <x:c r="D17" s="22" t="str">
        <x:v>洞口暂估</x:v>
      </x:c>
      <x:c r="F17" s="22" t="str">
        <x:v>Q_DOWNLIGHT</x:v>
      </x:c>
      <x:c r="G17" s="31" t="n">
        <x:f>B25</x:f>
        <x:v>32</x:v>
      </x:c>
      <x:c r="H17" s="22" t="str">
        <x:v>照度深化</x:v>
      </x:c>
    </x:row>
    <x:row r="18">
      <x:c r="A18" s="22" t="str">
        <x:v>入口暂估宽度</x:v>
      </x:c>
      <x:c r="B18" s="26" t="n">
        <x:v>1.48</x:v>
      </x:c>
      <x:c r="C18" s="22" t="str">
        <x:v>m</x:v>
      </x:c>
      <x:c r="D18" s="22" t="str">
        <x:v>平面图概念门洞</x:v>
      </x:c>
      <x:c r="F18" s="22" t="str">
        <x:v>Q_LINEAR_LIGHT</x:v>
      </x:c>
      <x:c r="G18" s="31" t="n">
        <x:f>B26</x:f>
        <x:v>40</x:v>
      </x:c>
      <x:c r="H18" s="22" t="str">
        <x:v>长度暂估</x:v>
      </x:c>
    </x:row>
    <x:row r="19">
      <x:c r="A19" s="22" t="str">
        <x:v>入口暂估高度</x:v>
      </x:c>
      <x:c r="B19" s="26" t="n">
        <x:v>2.1</x:v>
      </x:c>
      <x:c r="C19" s="22" t="str">
        <x:v>m</x:v>
      </x:c>
      <x:c r="D19" s="22" t="str">
        <x:v>暂估；现场复尺</x:v>
      </x:c>
      <x:c r="F19" s="22" t="str">
        <x:v>Q_WALL_WASHER</x:v>
      </x:c>
      <x:c r="G19" s="31" t="n">
        <x:f>B27</x:f>
        <x:v>4</x:v>
      </x:c>
      <x:c r="H19" s="22" t="str">
        <x:v>配光深化</x:v>
      </x:c>
    </x:row>
    <x:row r="20">
      <x:c r="A20" s="22" t="str">
        <x:v>端景肌理墙暂估</x:v>
      </x:c>
      <x:c r="B20" s="26" t="n">
        <x:v>16</x:v>
      </x:c>
      <x:c r="C20" s="22" t="str">
        <x:v>m²</x:v>
      </x:c>
      <x:c r="D20" s="22" t="str">
        <x:v>两处端景暂估</x:v>
      </x:c>
      <x:c r="F20" s="22" t="str">
        <x:v>Q_DRIVER</x:v>
      </x:c>
      <x:c r="G20" s="31" t="n">
        <x:f>B28</x:f>
        <x:v>6</x:v>
      </x:c>
      <x:c r="H20" s="22" t="str">
        <x:v>功率分段深化</x:v>
      </x:c>
    </x:row>
    <x:row r="21">
      <x:c r="A21" s="22" t="str">
        <x:v>吊顶毛宽</x:v>
      </x:c>
      <x:c r="B21" s="26" t="n">
        <x:v>14.718</x:v>
      </x:c>
      <x:c r="C21" s="22" t="str">
        <x:v>m</x:v>
      </x:c>
      <x:c r="D21" s="22" t="str">
        <x:v>完整区域毛尺寸</x:v>
      </x:c>
      <x:c r="F21" s="22" t="str">
        <x:v>Q_TILE_INSTALL</x:v>
      </x:c>
      <x:c r="G21" s="31" t="n">
        <x:f>SUM(G5:G10,G12:G13)</x:f>
        <x:v>494.35528</x:v>
      </x:c>
      <x:c r="H21" s="22" t="str">
        <x:v>饰面施工净面积</x:v>
      </x:c>
    </x:row>
    <x:row r="22">
      <x:c r="A22" s="22" t="str">
        <x:v>吊顶毛长</x:v>
      </x:c>
      <x:c r="B22" s="26" t="n">
        <x:v>13.3</x:v>
      </x:c>
      <x:c r="C22" s="22" t="str">
        <x:v>m</x:v>
      </x:c>
      <x:c r="D22" s="22" t="str">
        <x:v>完整区域毛尺寸</x:v>
      </x:c>
      <x:c r="F22" s="22" t="str">
        <x:v>Q_POINT_LIGHT_INSTALL</x:v>
      </x:c>
      <x:c r="G22" s="31" t="n">
        <x:f>G17+G19</x:f>
        <x:v>36</x:v>
      </x:c>
      <x:c r="H22" s="22" t="str">
        <x:v>点式灯具数量</x:v>
      </x:c>
    </x:row>
    <x:row r="23">
      <x:c r="A23" s="22" t="str">
        <x:v>木纹吊顶升级比例</x:v>
      </x:c>
      <x:c r="B23" s="27" t="n">
        <x:v>0.15</x:v>
      </x:c>
      <x:c r="C23" s="22" t="str">
        <x:v>%</x:v>
      </x:c>
      <x:c r="D23" s="22" t="str">
        <x:v>设计上限15%</x:v>
      </x:c>
    </x:row>
    <x:row r="24">
      <x:c r="A24" s="22" t="str">
        <x:v>检修口暂估</x:v>
      </x:c>
      <x:c r="B24" s="26" t="n">
        <x:v>6</x:v>
      </x:c>
      <x:c r="C24" s="22" t="str">
        <x:v>套</x:v>
      </x:c>
      <x:c r="D24" s="22" t="str">
        <x:v>机电深化</x:v>
      </x:c>
    </x:row>
    <x:row r="25">
      <x:c r="A25" s="22" t="str">
        <x:v>防潮筒灯暂估</x:v>
      </x:c>
      <x:c r="B25" s="26" t="n">
        <x:v>32</x:v>
      </x:c>
      <x:c r="C25" s="22" t="str">
        <x:v>套</x:v>
      </x:c>
      <x:c r="D25" s="22" t="str">
        <x:v>照度深化</x:v>
      </x:c>
    </x:row>
    <x:row r="26">
      <x:c r="A26" s="22" t="str">
        <x:v>隐藏线性灯暂估</x:v>
      </x:c>
      <x:c r="B26" s="26" t="n">
        <x:v>40</x:v>
      </x:c>
      <x:c r="C26" s="22" t="str">
        <x:v>m</x:v>
      </x:c>
      <x:c r="D26" s="22" t="str">
        <x:v>灯槽长度暂估</x:v>
      </x:c>
    </x:row>
    <x:row r="27">
      <x:c r="A27" s="22" t="str">
        <x:v>端景洗墙灯暂估</x:v>
      </x:c>
      <x:c r="B27" s="26" t="n">
        <x:v>4</x:v>
      </x:c>
      <x:c r="C27" s="22" t="str">
        <x:v>套</x:v>
      </x:c>
      <x:c r="D27" s="22" t="str">
        <x:v>配光深化</x:v>
      </x:c>
    </x:row>
    <x:row r="28">
      <x:c r="A28" s="22" t="str">
        <x:v>24V驱动暂估</x:v>
      </x:c>
      <x:c r="B28" s="26" t="n">
        <x:v>6</x:v>
      </x:c>
      <x:c r="C28" s="22" t="str">
        <x:v>套</x:v>
      </x:c>
      <x:c r="D28" s="22" t="str">
        <x:v>功率分段深化</x:v>
      </x:c>
    </x:row>
    <x:row r="31">
      <x:c r="A31" s="40" t="str">
        <x:v>计量说明与风险边界</x:v>
      </x:c>
      <x:c r="B31" s="41"/>
      <x:c r="C31" s="41"/>
      <x:c r="D31" s="41"/>
      <x:c r="E31" s="41"/>
      <x:c r="F31" s="41"/>
      <x:c r="G31" s="41"/>
      <x:c r="H31" s="42"/>
    </x:row>
    <x:row r="32">
      <x:c r="A32" s="21" t="str">
        <x:v>1</x:v>
      </x:c>
      <x:c r="B32" s="21" t="str">
        <x:v>池底至池沿完成面约850 mm，不等同于实际水深；水位由温泉设备与给排水深化确定。</x:v>
      </x:c>
      <x:c r="C32" s="21"/>
      <x:c r="D32" s="21"/>
      <x:c r="E32" s="21"/>
      <x:c r="F32" s="21"/>
      <x:c r="G32" s="21"/>
      <x:c r="H32" s="21"/>
    </x:row>
    <x:row r="33">
      <x:c r="A33" s="22" t="str">
        <x:v>2</x:v>
      </x:c>
      <x:c r="B33" s="22" t="str">
        <x:v>吊顶约195.75 m²为完整区域毛面积，最终需扣除墙体、洞口并补计灯槽侧板和收边展开。</x:v>
      </x:c>
      <x:c r="C33" s="22"/>
      <x:c r="D33" s="22"/>
      <x:c r="E33" s="22"/>
      <x:c r="F33" s="22"/>
      <x:c r="G33" s="22"/>
      <x:c r="H33" s="22"/>
    </x:row>
    <x:row r="34">
      <x:c r="A34" s="22" t="str">
        <x:v>3</x:v>
      </x:c>
      <x:c r="B34" s="22" t="str">
        <x:v>墙砖按两个矩形房间外周长和3200 mm概念净高暂估，仅扣两个入口；玻璃、门窗、柱面和洞口须复尺。</x:v>
      </x:c>
      <x:c r="C34" s="22"/>
      <x:c r="D34" s="22"/>
      <x:c r="E34" s="22"/>
      <x:c r="F34" s="22"/>
      <x:c r="G34" s="22"/>
      <x:c r="H34" s="22"/>
    </x:row>
    <x:row r="35">
      <x:c r="A35" s="22" t="str">
        <x:v>4</x:v>
      </x:c>
      <x:c r="B35" s="22" t="str">
        <x:v>端景肌理墙16 m²已从普通墙砖中扣除，避免重复计价。</x:v>
      </x:c>
      <x:c r="C35" s="22"/>
      <x:c r="D35" s="22"/>
      <x:c r="E35" s="22"/>
      <x:c r="F35" s="22"/>
      <x:c r="G35" s="22"/>
      <x:c r="H35" s="22"/>
    </x:row>
    <x:row r="36">
      <x:c r="A36" s="22" t="str">
        <x:v>5</x:v>
      </x:c>
      <x:c r="B36" s="22" t="str">
        <x:v>坐台/入池部位18 m²、池沿宽250 mm、检修口及灯具数量均为预算占位。</x:v>
      </x:c>
      <x:c r="C36" s="22"/>
      <x:c r="D36" s="22"/>
      <x:c r="E36" s="22"/>
      <x:c r="F36" s="22"/>
      <x:c r="G36" s="22"/>
      <x:c r="H36" s="22"/>
    </x:row>
    <x:row r="37">
      <x:c r="A37" s="22" t="str">
        <x:v>6</x:v>
      </x:c>
      <x:c r="B37" s="22" t="str">
        <x:v>工程量用于供应商统一口径询价，不是清单计价成果或可直接下单数量。</x:v>
      </x:c>
      <x:c r="C37" s="22"/>
      <x:c r="D37" s="22"/>
      <x:c r="E37" s="22"/>
      <x:c r="F37" s="22"/>
      <x:c r="G37" s="22"/>
      <x:c r="H37" s="22"/>
    </x:row>
    <x:row r="38">
      <x:c r="A38" s="22" t="str">
        <x:v>7</x:v>
      </x:c>
      <x:c r="B38" s="22" t="str">
        <x:v>防水、找坡、保护层、瓷砖胶、美缝、给排水、电线线管和机电系统不在本次材料合计内。</x:v>
      </x:c>
      <x:c r="C38" s="22"/>
      <x:c r="D38" s="22"/>
      <x:c r="E38" s="22"/>
      <x:c r="F38" s="22"/>
      <x:c r="G38" s="22"/>
      <x:c r="H38" s="22"/>
    </x:row>
  </x:sheetData>
  <x:mergeCells>
    <x:mergeCell ref="A1:H1"/>
    <x:mergeCell ref="A2:H2"/>
    <x:mergeCell ref="A31:H31"/>
    <x:mergeCell ref="B32:H32"/>
    <x:mergeCell ref="B33:H33"/>
    <x:mergeCell ref="B34:H34"/>
    <x:mergeCell ref="B35:H35"/>
    <x:mergeCell ref="B36:H36"/>
    <x:mergeCell ref="B37:H37"/>
    <x:mergeCell ref="B38:H38"/>
  </x:mergeCells>
  <x:conditionalFormatting sqref="H5:H22">
    <x:cfRule type="containsText" dxfId="0" priority="1" operator="containsText" text="暂估"/>
    <x:cfRule type="containsText" dxfId="1" priority="2" operator="containsText" text="深化"/>
  </x:conditionalFormatting>
  <x:pageMargins left="0.7" right="0.7" top="0.75" bottom="0.75" header="0.3" footer="0.3"/>
  <x:legacyDrawing xmlns:r="http://schemas.openxmlformats.org/officeDocument/2006/relationships" r:id="R745c004259944c6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64" hidden="0" customWidth="1"/>
    <x:col min="5" max="5" width="28" hidden="0" customWidth="1"/>
    <x:col min="6" max="6" width="24" hidden="0" customWidth="1"/>
    <x:col min="7" max="7" width="14" hidden="0" customWidth="1"/>
  </x:cols>
  <x:sheetData>
    <x:row r="1" ht="34" customHeight="1">
      <x:c r="A1" s="4" t="str">
        <x:v>汤泉 B 方案｜技术与施工验收要求</x:v>
      </x:c>
      <x:c r="B1" s="4" t="str">
        <x:v>汤泉 B 方案｜技术与施工验收要求</x:v>
      </x:c>
      <x:c r="C1" s="4" t="str">
        <x:v>汤泉 B 方案｜技术与施工验收要求</x:v>
      </x:c>
      <x:c r="D1" s="4" t="str">
        <x:v>汤泉 B 方案｜技术与施工验收要求</x:v>
      </x:c>
      <x:c r="E1" s="4" t="str">
        <x:v>汤泉 B 方案｜技术与施工验收要求</x:v>
      </x:c>
      <x:c r="F1" s="4" t="str">
        <x:v>汤泉 B 方案｜技术与施工验收要求</x:v>
      </x:c>
      <x:c r="G1" s="4" t="str">
        <x:v>汤泉 B 方案｜技术与施工验收要求</x:v>
      </x:c>
    </x:row>
    <x:row r="2" ht="34" customHeight="1">
      <x:c r="A2" s="9" t="str">
        <x:v>本页为选材、询价和施工交底草案。审美方向已确认；防滑、防水、电气、消防、照度、除湿及节点仍须相应专业复核。</x:v>
      </x:c>
      <x:c r="B2" s="9" t="str">
        <x:v>本页为选材、询价和施工交底草案。审美方向已确认；防滑、防水、电气、消防、照度、除湿及节点仍须相应专业复核。</x:v>
      </x:c>
      <x:c r="C2" s="9" t="str">
        <x:v>本页为选材、询价和施工交底草案。审美方向已确认；防滑、防水、电气、消防、照度、除湿及节点仍须相应专业复核。</x:v>
      </x:c>
      <x:c r="D2" s="9" t="str">
        <x:v>本页为选材、询价和施工交底草案。审美方向已确认；防滑、防水、电气、消防、照度、除湿及节点仍须相应专业复核。</x:v>
      </x:c>
      <x:c r="E2" s="9" t="str">
        <x:v>本页为选材、询价和施工交底草案。审美方向已确认；防滑、防水、电气、消防、照度、除湿及节点仍须相应专业复核。</x:v>
      </x:c>
      <x:c r="F2" s="9" t="str">
        <x:v>本页为选材、询价和施工交底草案。审美方向已确认；防滑、防水、电气、消防、照度、除湿及节点仍须相应专业复核。</x:v>
      </x:c>
      <x:c r="G2" s="9" t="str">
        <x:v>本页为选材、询价和施工交底草案。审美方向已确认；防滑、防水、电气、消防、照度、除湿及节点仍须相应专业复核。</x:v>
      </x:c>
    </x:row>
    <x:row r="4" ht="34" customHeight="1">
      <x:c r="A4" s="15" t="str">
        <x:v>专业</x:v>
      </x:c>
      <x:c r="B4" s="15" t="str">
        <x:v>阶段</x:v>
      </x:c>
      <x:c r="C4" s="15" t="str">
        <x:v>检查项目</x:v>
      </x:c>
      <x:c r="D4" s="15" t="str">
        <x:v>要求</x:v>
      </x:c>
      <x:c r="E4" s="15" t="str">
        <x:v>证据/文件</x:v>
      </x:c>
      <x:c r="F4" s="15" t="str">
        <x:v>责任方</x:v>
      </x:c>
      <x:c r="G4" s="15" t="str">
        <x:v>状态</x:v>
      </x:c>
    </x:row>
    <x:row r="5">
      <x:c r="A5" s="21" t="str">
        <x:v>瓷砖</x:v>
      </x:c>
      <x:c r="B5" s="21" t="str">
        <x:v>送样</x:v>
      </x:c>
      <x:c r="C5" s="21" t="str">
        <x:v>颜色与纹理</x:v>
      </x:c>
      <x:c r="D5" s="21" t="str">
        <x:v>浅冷灰米白/中性灰白；拒绝奶油黄、暖米黄、粉灰、金色纹理和高光面</x:v>
      </x:c>
      <x:c r="E5" s="21" t="str">
        <x:v>自然光+4000K现场样板</x:v>
      </x:c>
      <x:c r="F5" s="21" t="str">
        <x:v>业主/设计/供应商</x:v>
      </x:c>
      <x:c r="G5" s="21" t="str">
        <x:v>可询价</x:v>
      </x:c>
    </x:row>
    <x:row r="6">
      <x:c r="A6" s="22" t="str">
        <x:v>瓷砖</x:v>
      </x:c>
      <x:c r="B6" s="22" t="str">
        <x:v>选型</x:v>
      </x:c>
      <x:c r="C6" s="22" t="str">
        <x:v>吸水率</x:v>
      </x:c>
      <x:c r="D6" s="22" t="str">
        <x:v>池体及湿区瓷质砖建议吸水率≤0.5%</x:v>
      </x:c>
      <x:c r="E6" s="22" t="str">
        <x:v>对应型号检测报告</x:v>
      </x:c>
      <x:c r="F6" s="22" t="str">
        <x:v>供应商/设计</x:v>
      </x:c>
      <x:c r="G6" s="22" t="str">
        <x:v>专业深化</x:v>
      </x:c>
    </x:row>
    <x:row r="7">
      <x:c r="A7" s="22" t="str">
        <x:v>瓷砖</x:v>
      </x:c>
      <x:c r="B7" s="22" t="str">
        <x:v>选型</x:v>
      </x:c>
      <x:c r="C7" s="22" t="str">
        <x:v>湿态防滑</x:v>
      </x:c>
      <x:c r="D7" s="22" t="str">
        <x:v>池底、坐台、池沿及池外地面必须提供湿态防滑检测资料</x:v>
      </x:c>
      <x:c r="E7" s="22" t="str">
        <x:v>检测报告；适用标准</x:v>
      </x:c>
      <x:c r="F7" s="22" t="str">
        <x:v>供应商/设计</x:v>
      </x:c>
      <x:c r="G7" s="22" t="str">
        <x:v>专业深化</x:v>
      </x:c>
    </x:row>
    <x:row r="8">
      <x:c r="A8" s="22" t="str">
        <x:v>瓷砖</x:v>
      </x:c>
      <x:c r="B8" s="22" t="str">
        <x:v>深化</x:v>
      </x:c>
      <x:c r="C8" s="22" t="str">
        <x:v>池沿与阳角</x:v>
      </x:c>
      <x:c r="D8" s="22" t="str">
        <x:v>池沿圆角或倒圆；坐台、踏面和阳角采用安全收口</x:v>
      </x:c>
      <x:c r="E8" s="22" t="str">
        <x:v>加工样板与节点图</x:v>
      </x:c>
      <x:c r="F8" s="22" t="str">
        <x:v>供应商/设计/施工</x:v>
      </x:c>
      <x:c r="G8" s="22" t="str">
        <x:v>现场复尺</x:v>
      </x:c>
    </x:row>
    <x:row r="9">
      <x:c r="A9" s="22" t="str">
        <x:v>瓷砖</x:v>
      </x:c>
      <x:c r="B9" s="22" t="str">
        <x:v>订货</x:v>
      </x:c>
      <x:c r="C9" s="22" t="str">
        <x:v>批次与排版</x:v>
      </x:c>
      <x:c r="D9" s="22" t="str">
        <x:v>同一部位锁定色号、尺码和生产批次；订货前完成排版</x:v>
      </x:c>
      <x:c r="E9" s="22" t="str">
        <x:v>排版图、装箱单、留样</x:v>
      </x:c>
      <x:c r="F9" s="22" t="str">
        <x:v>供应商/施工</x:v>
      </x:c>
      <x:c r="G9" s="22" t="str">
        <x:v>现场复尺</x:v>
      </x:c>
    </x:row>
    <x:row r="10">
      <x:c r="A10" s="22" t="str">
        <x:v>瓷砖</x:v>
      </x:c>
      <x:c r="B10" s="22" t="str">
        <x:v>进场</x:v>
      </x:c>
      <x:c r="C10" s="22" t="str">
        <x:v>外观与数量</x:v>
      </x:c>
      <x:c r="D10" s="22" t="str">
        <x:v>抽检破损、翘曲、色差、包装和检测资料；保留补货批次</x:v>
      </x:c>
      <x:c r="E10" s="22" t="str">
        <x:v>进场验收记录</x:v>
      </x:c>
      <x:c r="F10" s="22" t="str">
        <x:v>施工/监理/业主</x:v>
      </x:c>
      <x:c r="G10" s="22" t="str">
        <x:v>现场复尺</x:v>
      </x:c>
    </x:row>
    <x:row r="11">
      <x:c r="A11" s="22" t="str">
        <x:v>瓷砖</x:v>
      </x:c>
      <x:c r="B11" s="22" t="str">
        <x:v>施工</x:v>
      </x:c>
      <x:c r="C11" s="22" t="str">
        <x:v>湿区系统边界</x:v>
      </x:c>
      <x:c r="D11" s="22" t="str">
        <x:v>本清单不含找坡、防水、保护层、瓷砖胶、美缝/填缝及密封；必须另行专项设计报价</x:v>
      </x:c>
      <x:c r="E11" s="22" t="str">
        <x:v>防水节点、闭水记录</x:v>
      </x:c>
      <x:c r="F11" s="22" t="str">
        <x:v>防水/施工专业</x:v>
      </x:c>
      <x:c r="G11" s="22" t="str">
        <x:v>专业深化</x:v>
      </x:c>
    </x:row>
    <x:row r="12">
      <x:c r="A12" s="22" t="str">
        <x:v>吊顶</x:v>
      </x:c>
      <x:c r="B12" s="22" t="str">
        <x:v>选型</x:v>
      </x:c>
      <x:c r="C12" s="22" t="str">
        <x:v>系统材料</x:v>
      </x:c>
      <x:c r="D12" s="22" t="str">
        <x:v>全室内采用耐潮耐腐蚀铝制系统；不得使用普通石膏板、天然木皮或吸水矿棉板</x:v>
      </x:c>
      <x:c r="E12" s="22" t="str">
        <x:v>系统样板、材料清单</x:v>
      </x:c>
      <x:c r="F12" s="22" t="str">
        <x:v>设计/供应商</x:v>
      </x:c>
      <x:c r="G12" s="22" t="str">
        <x:v>可询价</x:v>
      </x:c>
    </x:row>
    <x:row r="13">
      <x:c r="A13" s="22" t="str">
        <x:v>吊顶</x:v>
      </x:c>
      <x:c r="B13" s="22" t="str">
        <x:v>选型</x:v>
      </x:c>
      <x:c r="C13" s="22" t="str">
        <x:v>面板与涂层</x:v>
      </x:c>
      <x:c r="D13" s="22" t="str">
        <x:v>中性浅灰白/雾白哑光；厂家提供面板厚度、蜂窝总厚度、涂层和抗变形说明</x:v>
      </x:c>
      <x:c r="E13" s="22" t="str">
        <x:v>检测报告、技术参数</x:v>
      </x:c>
      <x:c r="F13" s="22" t="str">
        <x:v>供应商/设计</x:v>
      </x:c>
      <x:c r="G13" s="22" t="str">
        <x:v>专业深化</x:v>
      </x:c>
    </x:row>
    <x:row r="14">
      <x:c r="A14" s="22" t="str">
        <x:v>吊顶</x:v>
      </x:c>
      <x:c r="B14" s="22" t="str">
        <x:v>深化</x:v>
      </x:c>
      <x:c r="C14" s="22" t="str">
        <x:v>龙骨与连接件</x:v>
      </x:c>
      <x:c r="D14" s="22" t="str">
        <x:v>吊杆、龙骨、螺钉及连接件采用适应高湿和凝露环境的防腐体系</x:v>
      </x:c>
      <x:c r="E14" s="22" t="str">
        <x:v>系统节点与材料证明</x:v>
      </x:c>
      <x:c r="F14" s="22" t="str">
        <x:v>供应商/施工</x:v>
      </x:c>
      <x:c r="G14" s="22" t="str">
        <x:v>专业深化</x:v>
      </x:c>
    </x:row>
    <x:row r="15">
      <x:c r="A15" s="22" t="str">
        <x:v>吊顶</x:v>
      </x:c>
      <x:c r="B15" s="22" t="str">
        <x:v>深化</x:v>
      </x:c>
      <x:c r="C15" s="22" t="str">
        <x:v>木纹点缀</x:v>
      </x:c>
      <x:c r="D15" s="22" t="str">
        <x:v>仅用浅灰白橡木纹转印铝板，建议≤可见顶面15%；经济方案取消</x:v>
      </x:c>
      <x:c r="E15" s="22" t="str">
        <x:v>样板和排版图</x:v>
      </x:c>
      <x:c r="F15" s="22" t="str">
        <x:v>业主/设计</x:v>
      </x:c>
      <x:c r="G15" s="22" t="str">
        <x:v>现场复尺</x:v>
      </x:c>
    </x:row>
    <x:row r="16">
      <x:c r="A16" s="22" t="str">
        <x:v>吊顶</x:v>
      </x:c>
      <x:c r="B16" s="22" t="str">
        <x:v>深化</x:v>
      </x:c>
      <x:c r="C16" s="22" t="str">
        <x:v>综合检修</x:v>
      </x:c>
      <x:c r="D16" s="22" t="str">
        <x:v>检修口与新风、排风、除湿、消防、设备接口和灯具统一协调</x:v>
      </x:c>
      <x:c r="E16" s="22" t="str">
        <x:v>综合天花图</x:v>
      </x:c>
      <x:c r="F16" s="22" t="str">
        <x:v>机电/消防/设计</x:v>
      </x:c>
      <x:c r="G16" s="22" t="str">
        <x:v>专业深化</x:v>
      </x:c>
    </x:row>
    <x:row r="17">
      <x:c r="A17" s="22" t="str">
        <x:v>吊顶</x:v>
      </x:c>
      <x:c r="B17" s="22" t="str">
        <x:v>验收</x:v>
      </x:c>
      <x:c r="C17" s="22" t="str">
        <x:v>平整与可开启</x:v>
      </x:c>
      <x:c r="D17" s="22" t="str">
        <x:v>检查板面平整、接缝、色差、收边、防腐和检修口开启维护</x:v>
      </x:c>
      <x:c r="E17" s="22" t="str">
        <x:v>隐蔽及完工验收记录</x:v>
      </x:c>
      <x:c r="F17" s="22" t="str">
        <x:v>施工/供应商/监理</x:v>
      </x:c>
      <x:c r="G17" s="22" t="str">
        <x:v>现场复尺</x:v>
      </x:c>
    </x:row>
    <x:row r="18">
      <x:c r="A18" s="22" t="str">
        <x:v>灯具</x:v>
      </x:c>
      <x:c r="B18" s="22" t="str">
        <x:v>选型</x:v>
      </x:c>
      <x:c r="C18" s="22" t="str">
        <x:v>光色</x:v>
      </x:c>
      <x:c r="D18" s="22" t="str">
        <x:v>全部建筑照明约4000K；建议Ra≥90、SDCM≤3；不得混入3000K/3500K暖光</x:v>
      </x:c>
      <x:c r="E18" s="22" t="str">
        <x:v>样灯与产品参数</x:v>
      </x:c>
      <x:c r="F18" s="22" t="str">
        <x:v>照明/供应商/业主</x:v>
      </x:c>
      <x:c r="G18" s="22" t="str">
        <x:v>可询价</x:v>
      </x:c>
    </x:row>
    <x:row r="19">
      <x:c r="A19" s="22" t="str">
        <x:v>灯具</x:v>
      </x:c>
      <x:c r="B19" s="22" t="str">
        <x:v>选型</x:v>
      </x:c>
      <x:c r="C19" s="22" t="str">
        <x:v>防护与防腐</x:v>
      </x:c>
      <x:c r="D19" s="22" t="str">
        <x:v>汤池区筒灯正面建议至少IP65；临水易结露灯带建议IP67；外露构件耐腐蚀</x:v>
      </x:c>
      <x:c r="E19" s="22" t="str">
        <x:v>IP检测与材质证明</x:v>
      </x:c>
      <x:c r="F19" s="22" t="str">
        <x:v>电气/照明/供应商</x:v>
      </x:c>
      <x:c r="G19" s="22" t="str">
        <x:v>专业深化</x:v>
      </x:c>
    </x:row>
    <x:row r="20">
      <x:c r="A20" s="22" t="str">
        <x:v>灯具</x:v>
      </x:c>
      <x:c r="B20" s="22" t="str">
        <x:v>深化</x:v>
      </x:c>
      <x:c r="C20" s="22" t="str">
        <x:v>数量与配光</x:v>
      </x:c>
      <x:c r="D20" s="22" t="str">
        <x:v>筒灯数量、间距、功率、光束角、眩光和端景均匀度须经照度计算及样灯确认</x:v>
      </x:c>
      <x:c r="E20" s="22" t="str">
        <x:v>照度计算、样灯记录</x:v>
      </x:c>
      <x:c r="F20" s="22" t="str">
        <x:v>照明/电气/设计</x:v>
      </x:c>
      <x:c r="G20" s="22" t="str">
        <x:v>专业深化</x:v>
      </x:c>
    </x:row>
    <x:row r="21">
      <x:c r="A21" s="22" t="str">
        <x:v>灯具</x:v>
      </x:c>
      <x:c r="B21" s="22" t="str">
        <x:v>深化</x:v>
      </x:c>
      <x:c r="C21" s="22" t="str">
        <x:v>吊顶安装节点</x:v>
      </x:c>
      <x:c r="D21" s="22" t="str">
        <x:v>无边/微边灯具与铝板开孔、加固和收口由灯具与吊顶厂家联合深化</x:v>
      </x:c>
      <x:c r="E21" s="22" t="str">
        <x:v>开孔节点、样板</x:v>
      </x:c>
      <x:c r="F21" s="22" t="str">
        <x:v>灯具/吊顶供应商</x:v>
      </x:c>
      <x:c r="G21" s="22" t="str">
        <x:v>专业深化</x:v>
      </x:c>
    </x:row>
    <x:row r="22">
      <x:c r="A22" s="22" t="str">
        <x:v>灯具</x:v>
      </x:c>
      <x:c r="B22" s="22" t="str">
        <x:v>深化</x:v>
      </x:c>
      <x:c r="C22" s="22" t="str">
        <x:v>驱动与回路</x:v>
      </x:c>
      <x:c r="D22" s="22" t="str">
        <x:v>24V驱动集中设于可检修位置；按瓦数、压降和回路分段；不得封闭在不可检修吊顶内</x:v>
      </x:c>
      <x:c r="E22" s="22" t="str">
        <x:v>回路图、驱动选型</x:v>
      </x:c>
      <x:c r="F22" s="22" t="str">
        <x:v>电气/照明</x:v>
      </x:c>
      <x:c r="G22" s="22" t="str">
        <x:v>专业深化</x:v>
      </x:c>
    </x:row>
    <x:row r="23">
      <x:c r="A23" s="22" t="str">
        <x:v>灯具</x:v>
      </x:c>
      <x:c r="B23" s="22" t="str">
        <x:v>计价</x:v>
      </x:c>
      <x:c r="C23" s="22" t="str">
        <x:v>电气边界</x:v>
      </x:c>
      <x:c r="D23" s="22" t="str">
        <x:v>灯具材料及安装参考包含；电线、线管、开关、配电箱和配电改造不包含</x:v>
      </x:c>
      <x:c r="E23" s="22" t="str">
        <x:v>供应商报价回填</x:v>
      </x:c>
      <x:c r="F23" s="22" t="str">
        <x:v>电气/施工</x:v>
      </x:c>
      <x:c r="G23" s="22" t="str">
        <x:v>可询价</x:v>
      </x:c>
    </x:row>
    <x:row r="24">
      <x:c r="A24" s="22" t="str">
        <x:v>环境</x:v>
      </x:c>
      <x:c r="B24" s="22" t="str">
        <x:v>专项</x:v>
      </x:c>
      <x:c r="C24" s="22" t="str">
        <x:v>通风除湿</x:v>
      </x:c>
      <x:c r="D24" s="22" t="str">
        <x:v>全封闭汤泉必须专项核定新风、排风、除湿、防结露和防霉</x:v>
      </x:c>
      <x:c r="E24" s="22" t="str">
        <x:v>机电计算与设备选型</x:v>
      </x:c>
      <x:c r="F24" s="22" t="str">
        <x:v>机电专业</x:v>
      </x:c>
      <x:c r="G24" s="22" t="str">
        <x:v>专业深化</x:v>
      </x:c>
    </x:row>
    <x:row r="25">
      <x:c r="A25" s="22" t="str">
        <x:v>安全</x:v>
      </x:c>
      <x:c r="B25" s="22" t="str">
        <x:v>专项</x:v>
      </x:c>
      <x:c r="C25" s="22" t="str">
        <x:v>池体与排水</x:v>
      </x:c>
      <x:c r="D25" s="22" t="str">
        <x:v>池体结构、防水、找坡、排水、溢水、循环水、扶手和安全色差另行深化</x:v>
      </x:c>
      <x:c r="E25" s="22" t="str">
        <x:v>施工图与设备深化图</x:v>
      </x:c>
      <x:c r="F25" s="22" t="str">
        <x:v>结构/给排水/设备</x:v>
      </x:c>
      <x:c r="G25" s="22" t="str">
        <x:v>专业深化</x:v>
      </x:c>
    </x:row>
    <x:row r="26">
      <x:c r="A26" s="22" t="str">
        <x:v>合规</x:v>
      </x:c>
      <x:c r="B26" s="22" t="str">
        <x:v>专项</x:v>
      </x:c>
      <x:c r="C26" s="22" t="str">
        <x:v>消防与无障碍</x:v>
      </x:c>
      <x:c r="D26" s="22" t="str">
        <x:v>消防、疏散、材料燃烧性能、卫生和无障碍按当地现行要求复核</x:v>
      </x:c>
      <x:c r="E26" s="22" t="str">
        <x:v>专业审查意见</x:v>
      </x:c>
      <x:c r="F26" s="22" t="str">
        <x:v>相应注册专业</x:v>
      </x:c>
      <x:c r="G26" s="22" t="str">
        <x:v>专业深化</x:v>
      </x:c>
    </x:row>
  </x:sheetData>
  <x:mergeCells>
    <x:mergeCell ref="A1:G1"/>
    <x:mergeCell ref="A2:G2"/>
  </x:mergeCells>
  <x:conditionalFormatting sqref="G5:G26">
    <x:cfRule type="containsText" dxfId="6" priority="1" operator="containsText" text="专业深化"/>
    <x:cfRule type="containsText" dxfId="7" priority="2" operator="containsText" text="可询价"/>
  </x:conditionalFormatting>
  <x:dataValidations count="1">
    <x:dataValidation type="list" sqref="G5:G26">
      <x:formula1>"图纸计算,暂估,现场复尺,专业深化,可询价"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bb9d7c4daa46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22" hidden="0" customWidth="1"/>
    <x:col min="4" max="4" width="42" hidden="0" customWidth="1"/>
    <x:col min="5" max="5" width="8" hidden="0" customWidth="1"/>
    <x:col min="6" max="6" width="13" hidden="0" customWidth="1"/>
    <x:col min="7" max="7" width="13" hidden="0" customWidth="1"/>
    <x:col min="8" max="8" width="42" hidden="0" customWidth="1"/>
    <x:col min="9" max="9" width="13" hidden="0" customWidth="1"/>
    <x:col min="10" max="10" width="48" hidden="0" customWidth="1"/>
    <x:col min="11" max="11" width="32" hidden="0" customWidth="1"/>
    <x:col min="12" max="12" width="48" hidden="0" customWidth="1"/>
    <x:col min="13" max="13" width="30" hidden="0" customWidth="1"/>
    <x:col min="14" max="14" width="12" hidden="0" customWidth="1"/>
  </x:cols>
  <x:sheetData>
    <x:row r="1" ht="34" customHeight="1">
      <x:c r="A1" s="4" t="str">
        <x:v>汤泉 B 方案｜品牌、价格与来源记录</x:v>
      </x:c>
      <x:c r="B1" s="4" t="str">
        <x:v>汤泉 B 方案｜品牌、价格与来源记录</x:v>
      </x:c>
      <x:c r="C1" s="4" t="str">
        <x:v>汤泉 B 方案｜品牌、价格与来源记录</x:v>
      </x:c>
      <x:c r="D1" s="4" t="str">
        <x:v>汤泉 B 方案｜品牌、价格与来源记录</x:v>
      </x:c>
      <x:c r="E1" s="4" t="str">
        <x:v>汤泉 B 方案｜品牌、价格与来源记录</x:v>
      </x:c>
      <x:c r="F1" s="4" t="str">
        <x:v>汤泉 B 方案｜品牌、价格与来源记录</x:v>
      </x:c>
      <x:c r="G1" s="4" t="str">
        <x:v>汤泉 B 方案｜品牌、价格与来源记录</x:v>
      </x:c>
      <x:c r="H1" s="4" t="str">
        <x:v>汤泉 B 方案｜品牌、价格与来源记录</x:v>
      </x:c>
      <x:c r="I1" s="4" t="str">
        <x:v>汤泉 B 方案｜品牌、价格与来源记录</x:v>
      </x:c>
      <x:c r="J1" s="4" t="str">
        <x:v>汤泉 B 方案｜品牌、价格与来源记录</x:v>
      </x:c>
      <x:c r="K1" s="4" t="str">
        <x:v>汤泉 B 方案｜品牌、价格与来源记录</x:v>
      </x:c>
      <x:c r="L1" s="4" t="str">
        <x:v>汤泉 B 方案｜品牌、价格与来源记录</x:v>
      </x:c>
      <x:c r="M1" s="4" t="str">
        <x:v>汤泉 B 方案｜品牌、价格与来源记录</x:v>
      </x:c>
      <x:c r="N1" s="4" t="str">
        <x:v>汤泉 B 方案｜品牌、价格与来源记录</x:v>
      </x:c>
    </x:row>
    <x:row r="2" ht="34" customHeight="1">
      <x:c r="A2" s="9" t="str">
        <x:v>价格为截至2026-08-30的广东区域预算询价区间。官网用于核实品牌/能力，公开市场页用于支撑区间；均不冒充实时成交价。</x:v>
      </x:c>
      <x:c r="B2" s="9" t="str">
        <x:v>价格为截至2026-08-30的广东区域预算询价区间。官网用于核实品牌/能力，公开市场页用于支撑区间；均不冒充实时成交价。</x:v>
      </x:c>
      <x:c r="C2" s="9" t="str">
        <x:v>价格为截至2026-08-30的广东区域预算询价区间。官网用于核实品牌/能力，公开市场页用于支撑区间；均不冒充实时成交价。</x:v>
      </x:c>
      <x:c r="D2" s="9" t="str">
        <x:v>价格为截至2026-08-30的广东区域预算询价区间。官网用于核实品牌/能力，公开市场页用于支撑区间；均不冒充实时成交价。</x:v>
      </x:c>
      <x:c r="E2" s="9" t="str">
        <x:v>价格为截至2026-08-30的广东区域预算询价区间。官网用于核实品牌/能力，公开市场页用于支撑区间；均不冒充实时成交价。</x:v>
      </x:c>
      <x:c r="F2" s="9" t="str">
        <x:v>价格为截至2026-08-30的广东区域预算询价区间。官网用于核实品牌/能力，公开市场页用于支撑区间；均不冒充实时成交价。</x:v>
      </x:c>
      <x:c r="G2" s="9" t="str">
        <x:v>价格为截至2026-08-30的广东区域预算询价区间。官网用于核实品牌/能力，公开市场页用于支撑区间；均不冒充实时成交价。</x:v>
      </x:c>
      <x:c r="H2" s="9" t="str">
        <x:v>价格为截至2026-08-30的广东区域预算询价区间。官网用于核实品牌/能力，公开市场页用于支撑区间；均不冒充实时成交价。</x:v>
      </x:c>
      <x:c r="I2" s="9" t="str">
        <x:v>价格为截至2026-08-30的广东区域预算询价区间。官网用于核实品牌/能力，公开市场页用于支撑区间；均不冒充实时成交价。</x:v>
      </x:c>
      <x:c r="J2" s="9" t="str">
        <x:v>价格为截至2026-08-30的广东区域预算询价区间。官网用于核实品牌/能力，公开市场页用于支撑区间；均不冒充实时成交价。</x:v>
      </x:c>
      <x:c r="K2" s="9" t="str">
        <x:v>价格为截至2026-08-30的广东区域预算询价区间。官网用于核实品牌/能力，公开市场页用于支撑区间；均不冒充实时成交价。</x:v>
      </x:c>
      <x:c r="L2" s="9" t="str">
        <x:v>价格为截至2026-08-30的广东区域预算询价区间。官网用于核实品牌/能力，公开市场页用于支撑区间；均不冒充实时成交价。</x:v>
      </x:c>
      <x:c r="M2" s="9" t="str">
        <x:v>价格为截至2026-08-30的广东区域预算询价区间。官网用于核实品牌/能力，公开市场页用于支撑区间；均不冒充实时成交价。</x:v>
      </x:c>
      <x:c r="N2" s="9" t="str">
        <x:v>价格为截至2026-08-30的广东区域预算询价区间。官网用于核实品牌/能力，公开市场页用于支撑区间；均不冒充实时成交价。</x:v>
      </x:c>
    </x:row>
    <x:row r="4" ht="34" customHeight="1">
      <x:c r="A4" s="15" t="str">
        <x:v>分类编码</x:v>
      </x:c>
      <x:c r="B4" s="15" t="str">
        <x:v>档次</x:v>
      </x:c>
      <x:c r="C4" s="15" t="str">
        <x:v>品牌/渠道</x:v>
      </x:c>
      <x:c r="D4" s="15" t="str">
        <x:v>产品或等效要求</x:v>
      </x:c>
      <x:c r="E4" s="15" t="str">
        <x:v>单位</x:v>
      </x:c>
      <x:c r="F4" s="15" t="str">
        <x:v>单价下限</x:v>
      </x:c>
      <x:c r="G4" s="15" t="str">
        <x:v>单价上限</x:v>
      </x:c>
      <x:c r="H4" s="15" t="str">
        <x:v>来源URL</x:v>
      </x:c>
      <x:c r="I4" s="15" t="str">
        <x:v>核实日期</x:v>
      </x:c>
      <x:c r="J4" s="15" t="str">
        <x:v>价格口径</x:v>
      </x:c>
      <x:c r="K4" s="15" t="str">
        <x:v>区域补货/售后</x:v>
      </x:c>
      <x:c r="L4" s="15" t="str">
        <x:v>限制说明</x:v>
      </x:c>
      <x:c r="M4" s="15" t="str">
        <x:v>查找键</x:v>
      </x:c>
      <x:c r="N4" s="15" t="str">
        <x:v>查找序号</x:v>
      </x:c>
    </x:row>
    <x:row r="5">
      <x:c r="A5" s="21" t="str">
        <x:v>pool_floor_tile</x:v>
      </x:c>
      <x:c r="B5" s="21" t="str">
        <x:v>中档耐用型</x:v>
      </x:c>
      <x:c r="C5" s="21" t="str">
        <x:v>唯格 VIEWGRES</x:v>
      </x:c>
      <x:c r="D5" s="21" t="str">
        <x:v>150×150 mm 定制浅冷灰小规格泳池/湿区瓷质砖，湿态防滑检测合格</x:v>
      </x:c>
      <x:c r="E5" s="21" t="str">
        <x:v>m²</x:v>
      </x:c>
      <x:c r="F5" s="43" t="n">
        <x:v>150</x:v>
      </x:c>
      <x:c r="G5" s="43" t="n">
        <x:v>260</x:v>
      </x:c>
      <x:c r="H5" s="45" t="str">
        <x:v>https://bk.taobao.com/k/PCzhuan_3788/dbf1c3b70416ac8d41ee27b3ed4a7f3e.html</x:v>
      </x:c>
      <x:c r="I5" s="21" t="str">
        <x:v>2026-08-30</x:v>
      </x:c>
      <x:c r="J5" s="21" t="str">
        <x:v>公开市场文章给出唯格石英砖约120–280元/㎡的综合落地区间；本行取150–260元/㎡作为专用小规格砖预算询价区间，不含加工、运费、税、辅料和铺贴；品牌与吸水率能力另由唯格产品目录核实</x:v>
      </x:c>
      <x:c r="K5" s="21" t="str">
        <x:v>佛山厂家，清远/英德项目可向佛山渠道询价补货</x:v>
      </x:c>
      <x:c r="L5" s="21" t="str">
        <x:v>公开页不是本项目150×150专用规格的正式报价，必须索取样板、吸水率、湿态防滑报告和书面询价单</x:v>
      </x:c>
      <x:c r="M5" s="28" t="str">
        <x:v>pool_floor_tile|mid</x:v>
      </x:c>
      <x:c r="N5" s="28" t="n">
        <x:v>1</x:v>
      </x:c>
    </x:row>
    <x:row r="6">
      <x:c r="A6" s="22" t="str">
        <x:v>pool_floor_tile</x:v>
      </x:c>
      <x:c r="B6" s="22" t="str">
        <x:v>经济实用型</x:v>
      </x:c>
      <x:c r="C6" s="22" t="str">
        <x:v>佛山正规泳池砖厂家（等效）</x:v>
      </x:c>
      <x:c r="D6" s="22" t="str">
        <x:v>150×150 mm 浅冷灰小规格瓷质防滑砖，性能不得低于主表要求</x:v>
      </x:c>
      <x:c r="E6" s="22" t="str">
        <x:v>m²</x:v>
      </x:c>
      <x:c r="F6" s="44" t="n">
        <x:v>80</x:v>
      </x:c>
      <x:c r="G6" s="44" t="n">
        <x:v>150</x:v>
      </x:c>
      <x:c r="H6" s="46" t="str">
        <x:v>https://www.1688.com/jiage/-D3BEB3D8B7C0BBACB4C9D7A9.html</x:v>
      </x:c>
      <x:c r="I6" s="22" t="str">
        <x:v>2026-08-30</x:v>
      </x:c>
      <x:c r="J6" s="22" t="str">
        <x:v>公开批发供应页面及同类防滑砖行情形成的预算区间，不含运税、加工、辅料和铺贴</x:v>
      </x:c>
      <x:c r="K6" s="22" t="str">
        <x:v>优先选佛山可出具检测报告并支持补货的正规工厂</x:v>
      </x:c>
      <x:c r="L6" s="22" t="str">
        <x:v>平台展示价可能为起订价或引流价，须按实际色号、批次、数量复询</x:v>
      </x:c>
      <x:c r="M6" s="29" t="str">
        <x:v>pool_floor_tile|economy</x:v>
      </x:c>
      <x:c r="N6" s="29" t="n">
        <x:v>2</x:v>
      </x:c>
    </x:row>
    <x:row r="7">
      <x:c r="A7" s="22" t="str">
        <x:v>pool_wall_tile</x:v>
      </x:c>
      <x:c r="B7" s="22" t="str">
        <x:v>中档耐用型</x:v>
      </x:c>
      <x:c r="C7" s="22" t="str">
        <x:v>东鹏瓷砖</x:v>
      </x:c>
      <x:c r="D7" s="22" t="str">
        <x:v>300×600 mm 浅灰米白哑光瓷质墙砖或同档工程砖</x:v>
      </x:c>
      <x:c r="E7" s="22" t="str">
        <x:v>m²</x:v>
      </x:c>
      <x:c r="F7" s="44" t="n">
        <x:v>120</x:v>
      </x:c>
      <x:c r="G7" s="44" t="n">
        <x:v>220</x:v>
      </x:c>
      <x:c r="H7" s="46" t="str">
        <x:v>https://item.jd.com/10198678744028.html</x:v>
      </x:c>
      <x:c r="I7" s="22" t="str">
        <x:v>2026-08-30</x:v>
      </x:c>
      <x:c r="J7" s="22" t="str">
        <x:v>公开零售产品页证明品牌及300×600规格；预算区间按广东正规渠道同档哑光瓷质砖，不含运税辅料铺贴</x:v>
      </x:c>
      <x:c r="K7" s="22" t="str">
        <x:v>广东品牌，清远、佛山、广州经销渠道相对易补货</x:v>
      </x:c>
      <x:c r="L7" s="22" t="str">
        <x:v>链接产品不等同最终色号，需现场4000K样板确认并复核吸水率</x:v>
      </x:c>
      <x:c r="M7" s="29" t="str">
        <x:v>pool_wall_tile|mid</x:v>
      </x:c>
      <x:c r="N7" s="29" t="n">
        <x:v>3</x:v>
      </x:c>
    </x:row>
    <x:row r="8">
      <x:c r="A8" s="22" t="str">
        <x:v>pool_wall_tile</x:v>
      </x:c>
      <x:c r="B8" s="22" t="str">
        <x:v>经济实用型</x:v>
      </x:c>
      <x:c r="C8" s="22" t="str">
        <x:v>新中源陶瓷或佛山同档工程砖</x:v>
      </x:c>
      <x:c r="D8" s="22" t="str">
        <x:v>300×600 mm 浅灰米白哑光瓷质墙砖</x:v>
      </x:c>
      <x:c r="E8" s="22" t="str">
        <x:v>m²</x:v>
      </x:c>
      <x:c r="F8" s="44" t="n">
        <x:v>65</x:v>
      </x:c>
      <x:c r="G8" s="44" t="n">
        <x:v>120</x:v>
      </x:c>
      <x:c r="H8" s="46" t="str">
        <x:v>https://www.jd.com/jiage/9855a005bae7faf4a259.html</x:v>
      </x:c>
      <x:c r="I8" s="22" t="str">
        <x:v>2026-08-30</x:v>
      </x:c>
      <x:c r="J8" s="22" t="str">
        <x:v>京东600规格公开行情页和佛山工程砖渠道形成的预算区间，不含运税辅料铺贴</x:v>
      </x:c>
      <x:c r="K8" s="22" t="str">
        <x:v>优先选择佛山仓现货、可锁定批次的正规经销商</x:v>
      </x:c>
      <x:c r="L8" s="22" t="str">
        <x:v>只作询价下限参考，低价产品若无检测报告不得用于池体</x:v>
      </x:c>
      <x:c r="M8" s="29" t="str">
        <x:v>pool_wall_tile|economy</x:v>
      </x:c>
      <x:c r="N8" s="29" t="n">
        <x:v>4</x:v>
      </x:c>
    </x:row>
    <x:row r="9">
      <x:c r="A9" s="22" t="str">
        <x:v>pool_coping_tile</x:v>
      </x:c>
      <x:c r="B9" s="22" t="str">
        <x:v>中档耐用型</x:v>
      </x:c>
      <x:c r="C9" s="22" t="str">
        <x:v>唯格 VIEWGRES</x:v>
      </x:c>
      <x:c r="D9" s="22" t="str">
        <x:v>300×600 mm 防滑瓷质砖加工池沿，含倒圆/圆角加工预算</x:v>
      </x:c>
      <x:c r="E9" s="22" t="str">
        <x:v>m²</x:v>
      </x:c>
      <x:c r="F9" s="44" t="n">
        <x:v>220</x:v>
      </x:c>
      <x:c r="G9" s="44" t="n">
        <x:v>380</x:v>
      </x:c>
      <x:c r="H9" s="46" t="str">
        <x:v>https://bk.taobao.com/k/PCzhuan_3788/dbf1c3b70416ac8d41ee27b3ed4a7f3e.html</x:v>
      </x:c>
      <x:c r="I9" s="22" t="str">
        <x:v>2026-08-30</x:v>
      </x:c>
      <x:c r="J9" s="22" t="str">
        <x:v>公开市场文章给出唯格石英砖约120–280元/㎡综合落地区间；本行在此基础上加入常规倒圆加工暂估，形成220–380元/㎡预算区间，不含复杂异形、运税、辅料和安装</x:v>
      </x:c>
      <x:c r="K9" s="22" t="str">
        <x:v>佛山厂家便于加工深化和补货</x:v>
      </x:c>
      <x:c r="L9" s="22" t="str">
        <x:v>公开页不是池沿加工成交页，必须由厂家按池沿节点另报加工费，不能按普通整砖直接下单</x:v>
      </x:c>
      <x:c r="M9" s="29" t="str">
        <x:v>pool_coping_tile|mid</x:v>
      </x:c>
      <x:c r="N9" s="29" t="n">
        <x:v>5</x:v>
      </x:c>
    </x:row>
    <x:row r="10">
      <x:c r="A10" s="22" t="str">
        <x:v>pool_coping_tile</x:v>
      </x:c>
      <x:c r="B10" s="22" t="str">
        <x:v>经济实用型</x:v>
      </x:c>
      <x:c r="C10" s="22" t="str">
        <x:v>佛山瓷质防滑砖厂家（等效）</x:v>
      </x:c>
      <x:c r="D10" s="22" t="str">
        <x:v>300×600 mm 防滑砖加工池沿，安全倒圆</x:v>
      </x:c>
      <x:c r="E10" s="22" t="str">
        <x:v>m²</x:v>
      </x:c>
      <x:c r="F10" s="44" t="n">
        <x:v>130</x:v>
      </x:c>
      <x:c r="G10" s="44" t="n">
        <x:v>220</x:v>
      </x:c>
      <x:c r="H10" s="46" t="str">
        <x:v>https://www.1688.com/jiage/-D3BEB3D8B7C0BBACB4C9D7A9.html</x:v>
      </x:c>
      <x:c r="I10" s="22" t="str">
        <x:v>2026-08-30</x:v>
      </x:c>
      <x:c r="J10" s="22" t="str">
        <x:v>佛山定制建材公开供应平台形成的加工类预算区间，不含运税辅料安装</x:v>
      </x:c>
      <x:c r="K10" s="22" t="str">
        <x:v>选本地可复尺、可补货、可做圆角加工的厂家</x:v>
      </x:c>
      <x:c r="L10" s="22" t="str">
        <x:v>该页不是瓷砖专属成交页，区间必须由至少三家池沿加工商复询后替换</x:v>
      </x:c>
      <x:c r="M10" s="29" t="str">
        <x:v>pool_coping_tile|economy</x:v>
      </x:c>
      <x:c r="N10" s="29" t="n">
        <x:v>6</x:v>
      </x:c>
    </x:row>
    <x:row r="11">
      <x:c r="A11" s="22" t="str">
        <x:v>deck_floor_tile</x:v>
      </x:c>
      <x:c r="B11" s="22" t="str">
        <x:v>中档耐用型</x:v>
      </x:c>
      <x:c r="C11" s="22" t="str">
        <x:v>东鹏瓷砖</x:v>
      </x:c>
      <x:c r="D11" s="22" t="str">
        <x:v>600×600 mm 浅冷灰米白哑光细石纹防滑瓷质砖</x:v>
      </x:c>
      <x:c r="E11" s="22" t="str">
        <x:v>m²</x:v>
      </x:c>
      <x:c r="F11" s="44" t="n">
        <x:v>110</x:v>
      </x:c>
      <x:c r="G11" s="44" t="n">
        <x:v>190</x:v>
      </x:c>
      <x:c r="H11" s="46" t="str">
        <x:v>https://product.pchouse.com.cn/list/b70_c444.html</x:v>
      </x:c>
      <x:c r="I11" s="22" t="str">
        <x:v>2026-08-30</x:v>
      </x:c>
      <x:c r="J11" s="22" t="str">
        <x:v>东鹏防滑砖公开产品/报价目录与广州主流品牌行情形成的预算区间，不含运税辅料铺贴</x:v>
      </x:c>
      <x:c r="K11" s="22" t="str">
        <x:v>广东品牌，区域补货便利</x:v>
      </x:c>
      <x:c r="L11" s="22" t="str">
        <x:v>湿态防滑以对应型号检测报告为准，不能用目录分类替代性能证明</x:v>
      </x:c>
      <x:c r="M11" s="29" t="str">
        <x:v>deck_floor_tile|mid</x:v>
      </x:c>
      <x:c r="N11" s="29" t="n">
        <x:v>7</x:v>
      </x:c>
    </x:row>
    <x:row r="12">
      <x:c r="A12" s="22" t="str">
        <x:v>deck_floor_tile</x:v>
      </x:c>
      <x:c r="B12" s="22" t="str">
        <x:v>经济实用型</x:v>
      </x:c>
      <x:c r="C12" s="22" t="str">
        <x:v>新中源/冠珠同档佛山工程砖</x:v>
      </x:c>
      <x:c r="D12" s="22" t="str">
        <x:v>600×600 mm 浅冷灰哑光防滑瓷质砖</x:v>
      </x:c>
      <x:c r="E12" s="22" t="str">
        <x:v>m²</x:v>
      </x:c>
      <x:c r="F12" s="44" t="n">
        <x:v>60</x:v>
      </x:c>
      <x:c r="G12" s="44" t="n">
        <x:v>110</x:v>
      </x:c>
      <x:c r="H12" s="46" t="str">
        <x:v>https://www.jd.com/xinghao/9855eb36c302edfeead6.html</x:v>
      </x:c>
      <x:c r="I12" s="22" t="str">
        <x:v>2026-08-30</x:v>
      </x:c>
      <x:c r="J12" s="22" t="str">
        <x:v>600×600防滑砖公开规格行情形成的预算区间，不含运税辅料铺贴</x:v>
      </x:c>
      <x:c r="K12" s="22" t="str">
        <x:v>优先佛山现货仓及清远可送货渠道</x:v>
      </x:c>
      <x:c r="L12" s="22" t="str">
        <x:v>低价工程砖需核查优等品、色差、批次和湿态防滑报告</x:v>
      </x:c>
      <x:c r="M12" s="29" t="str">
        <x:v>deck_floor_tile|economy</x:v>
      </x:c>
      <x:c r="N12" s="29" t="n">
        <x:v>8</x:v>
      </x:c>
    </x:row>
    <x:row r="13">
      <x:c r="A13" s="22" t="str">
        <x:v>wall_tile</x:v>
      </x:c>
      <x:c r="B13" s="22" t="str">
        <x:v>中档耐用型</x:v>
      </x:c>
      <x:c r="C13" s="22" t="str">
        <x:v>蒙娜丽莎/东鹏同档</x:v>
      </x:c>
      <x:c r="D13" s="22" t="str">
        <x:v>600×1200 mm 中性灰白哑光瓷质墙砖</x:v>
      </x:c>
      <x:c r="E13" s="22" t="str">
        <x:v>m²</x:v>
      </x:c>
      <x:c r="F13" s="44" t="n">
        <x:v>130</x:v>
      </x:c>
      <x:c r="G13" s="44" t="n">
        <x:v>240</x:v>
      </x:c>
      <x:c r="H13" s="46" t="str">
        <x:v>https://www.jd.com/jiage/98559a1830701462164b.html</x:v>
      </x:c>
      <x:c r="I13" s="22" t="str">
        <x:v>2026-08-30</x:v>
      </x:c>
      <x:c r="J13" s="22" t="str">
        <x:v>大规格哑光瓷砖公开报价行情与广东品牌渠道形成的预算区间，不含运税辅料铺贴</x:v>
      </x:c>
      <x:c r="K13" s="22" t="str">
        <x:v>优先广东品牌清远/佛山经销渠道，保证同批次补货</x:v>
      </x:c>
      <x:c r="L13" s="22" t="str">
        <x:v>上墙挂贴或薄贴节点、背胶等不在本次计价范围</x:v>
      </x:c>
      <x:c r="M13" s="29" t="str">
        <x:v>wall_tile|mid</x:v>
      </x:c>
      <x:c r="N13" s="29" t="n">
        <x:v>9</x:v>
      </x:c>
    </x:row>
    <x:row r="14">
      <x:c r="A14" s="22" t="str">
        <x:v>wall_tile</x:v>
      </x:c>
      <x:c r="B14" s="22" t="str">
        <x:v>经济实用型</x:v>
      </x:c>
      <x:c r="C14" s="22" t="str">
        <x:v>佛山正规工程瓷质砖（等效）</x:v>
      </x:c>
      <x:c r="D14" s="22" t="str">
        <x:v>600×1200 mm 中性灰白哑光瓷质墙砖</x:v>
      </x:c>
      <x:c r="E14" s="22" t="str">
        <x:v>m²</x:v>
      </x:c>
      <x:c r="F14" s="44" t="n">
        <x:v>70</x:v>
      </x:c>
      <x:c r="G14" s="44" t="n">
        <x:v>130</x:v>
      </x:c>
      <x:c r="H14" s="46" t="str">
        <x:v>https://b2b.baidu.com/s?q=%E5%B9%BF%E4%B8%9C%E4%BD%9B%E5%B1%B1%E7%93%B7%E7%A0%96600x1200%E4%BB%B7%E6%A0%BC</x:v>
      </x:c>
      <x:c r="I14" s="22" t="str">
        <x:v>2026-08-30</x:v>
      </x:c>
      <x:c r="J14" s="22" t="str">
        <x:v>佛山600×1200公开批发供应行情形成的预算区间，不含运税辅料铺贴</x:v>
      </x:c>
      <x:c r="K14" s="22" t="str">
        <x:v>选择能锁批次并提供检测报告的佛山厂家</x:v>
      </x:c>
      <x:c r="L14" s="22" t="str">
        <x:v>公开供应价常为起订价，正式询价需明确优等品、包装和破损补发</x:v>
      </x:c>
      <x:c r="M14" s="29" t="str">
        <x:v>wall_tile|economy</x:v>
      </x:c>
      <x:c r="N14" s="29" t="n">
        <x:v>10</x:v>
      </x:c>
    </x:row>
    <x:row r="15">
      <x:c r="A15" s="22" t="str">
        <x:v>feature_tile</x:v>
      </x:c>
      <x:c r="B15" s="22" t="str">
        <x:v>中档耐用型</x:v>
      </x:c>
      <x:c r="C15" s="22" t="str">
        <x:v>蒙娜丽莎/唯格定制</x:v>
      </x:c>
      <x:c r="D15" s="22" t="str">
        <x:v>浅灰米白局部浮雕或肌理瓷砖，低反光</x:v>
      </x:c>
      <x:c r="E15" s="22" t="str">
        <x:v>m²</x:v>
      </x:c>
      <x:c r="F15" s="44" t="n">
        <x:v>260</x:v>
      </x:c>
      <x:c r="G15" s="44" t="n">
        <x:v>480</x:v>
      </x:c>
      <x:c r="H15" s="46" t="str">
        <x:v>https://www.kinpan.com/company/productlist/20181105111501655784848d39d56cc?ft=7006774232959243</x:v>
      </x:c>
      <x:c r="I15" s="22" t="str">
        <x:v>2026-08-30</x:v>
      </x:c>
      <x:c r="J15" s="22" t="str">
        <x:v>公开产品展示页用于核实唯格产品与材料能力；260–480元/㎡为浅浮雕/肌理砖定制加工预算区间，不含运税辅料铺贴，最终须厂家书面报价</x:v>
      </x:c>
      <x:c r="K15" s="22" t="str">
        <x:v>佛山定制样板后送英德确认</x:v>
      </x:c>
      <x:c r="L15" s="22" t="str">
        <x:v>产品展示页未公开本项目肌理砖成交价；肌理深度、模具和最小起订量会显著影响价格</x:v>
      </x:c>
      <x:c r="M15" s="29" t="str">
        <x:v>feature_tile|mid</x:v>
      </x:c>
      <x:c r="N15" s="29" t="n">
        <x:v>11</x:v>
      </x:c>
    </x:row>
    <x:row r="16">
      <x:c r="A16" s="22" t="str">
        <x:v>feature_tile</x:v>
      </x:c>
      <x:c r="B16" s="22" t="str">
        <x:v>经济实用型</x:v>
      </x:c>
      <x:c r="C16" s="22" t="str">
        <x:v>佛山浅浮雕墙砖厂家（等效）</x:v>
      </x:c>
      <x:c r="D16" s="22" t="str">
        <x:v>浅灰米白成品肌理墙砖，限制为局部使用</x:v>
      </x:c>
      <x:c r="E16" s="22" t="str">
        <x:v>m²</x:v>
      </x:c>
      <x:c r="F16" s="44" t="n">
        <x:v>140</x:v>
      </x:c>
      <x:c r="G16" s="44" t="n">
        <x:v>260</x:v>
      </x:c>
      <x:c r="H16" s="46" t="str">
        <x:v>https://www.1688.com/market/-31353078313530B4C9D7A9.html</x:v>
      </x:c>
      <x:c r="I16" s="22" t="str">
        <x:v>2026-08-30</x:v>
      </x:c>
      <x:c r="J16" s="22" t="str">
        <x:v>佛山小规格及定制砖公开供应页形成的预算区间，不含运税辅料铺贴</x:v>
      </x:c>
      <x:c r="K16" s="22" t="str">
        <x:v>优先选择有工程案例、可先打样的佛山厂家</x:v>
      </x:c>
      <x:c r="L16" s="22" t="str">
        <x:v>不得采用吸水性强、难清洁的普通文化石替代</x:v>
      </x:c>
      <x:c r="M16" s="29" t="str">
        <x:v>feature_tile|economy</x:v>
      </x:c>
      <x:c r="N16" s="29" t="n">
        <x:v>12</x:v>
      </x:c>
    </x:row>
    <x:row r="17">
      <x:c r="A17" s="22" t="str">
        <x:v>ceiling_system</x:v>
      </x:c>
      <x:c r="B17" s="22" t="str">
        <x:v>中档耐用型</x:v>
      </x:c>
      <x:c r="C17" s="22" t="str">
        <x:v>佛山欧陆/欧佰同档工程系统</x:v>
      </x:c>
      <x:c r="D17" s="22" t="str">
        <x:v>600×1200 mm 浅灰白哑光铝蜂窝板吊顶系统，含配套防腐龙骨预算</x:v>
      </x:c>
      <x:c r="E17" s="22" t="str">
        <x:v>m²</x:v>
      </x:c>
      <x:c r="F17" s="44" t="n">
        <x:v>260</x:v>
      </x:c>
      <x:c r="G17" s="44" t="n">
        <x:v>480</x:v>
      </x:c>
      <x:c r="H17" s="46" t="str">
        <x:v>https://www.sohu.com/a/970313037_122546145</x:v>
      </x:c>
      <x:c r="I17" s="22" t="str">
        <x:v>2026-08-30</x:v>
      </x:c>
      <x:c r="J17" s="22" t="str">
        <x:v>公开行情显示铝蜂窝吊顶从百余至七八百元/㎡；本区间按中档工程系统含常规龙骨，不含异形、灯槽、运税和安装</x:v>
      </x:c>
      <x:c r="K17" s="22" t="str">
        <x:v>优先佛山工程吊顶厂家，要求清远项目深化、补板和售后</x:v>
      </x:c>
      <x:c r="L17" s="22" t="str">
        <x:v>须明确面板厚度、蜂窝总厚度、涂层和龙骨体系后询价</x:v>
      </x:c>
      <x:c r="M17" s="29" t="str">
        <x:v>ceiling_system|mid</x:v>
      </x:c>
      <x:c r="N17" s="29" t="n">
        <x:v>13</x:v>
      </x:c>
    </x:row>
    <x:row r="18">
      <x:c r="A18" s="22" t="str">
        <x:v>ceiling_system</x:v>
      </x:c>
      <x:c r="B18" s="22" t="str">
        <x:v>经济实用型</x:v>
      </x:c>
      <x:c r="C18" s="22" t="str">
        <x:v>佛山工程铝扣板厂家（等效）</x:v>
      </x:c>
      <x:c r="D18" s="22" t="str">
        <x:v>600×600 mm 浅灰白哑光工程铝扣板系统，含配套龙骨预算</x:v>
      </x:c>
      <x:c r="E18" s="22" t="str">
        <x:v>m²</x:v>
      </x:c>
      <x:c r="F18" s="44" t="n">
        <x:v>100</x:v>
      </x:c>
      <x:c r="G18" s="44" t="n">
        <x:v>180</x:v>
      </x:c>
      <x:c r="H18" s="46" t="str">
        <x:v>https://www.sohu.com/a/984354870_122524004</x:v>
      </x:c>
      <x:c r="I18" s="22" t="str">
        <x:v>2026-08-30</x:v>
      </x:c>
      <x:c r="J18" s="22" t="str">
        <x:v>2026年600×600铝扣板公开行情与佛山工程供应价形成的预算区间，含常规龙骨，不含异形、运税和安装</x:v>
      </x:c>
      <x:c r="K18" s="22" t="str">
        <x:v>佛山厂家可送清远，需锁定厚度和涂层</x:v>
      </x:c>
      <x:c r="L18" s="22" t="str">
        <x:v>不得以薄型家装覆膜扣板替代高湿工程系统</x:v>
      </x:c>
      <x:c r="M18" s="29" t="str">
        <x:v>ceiling_system|economy</x:v>
      </x:c>
      <x:c r="N18" s="29" t="n">
        <x:v>14</x:v>
      </x:c>
    </x:row>
    <x:row r="19">
      <x:c r="A19" s="22" t="str">
        <x:v>woodgrain_upgrade</x:v>
      </x:c>
      <x:c r="B19" s="22" t="str">
        <x:v>中档耐用型</x:v>
      </x:c>
      <x:c r="C19" s="22" t="str">
        <x:v>佛山工程铝板厂家</x:v>
      </x:c>
      <x:c r="D19" s="22" t="str">
        <x:v>浅灰白橡木纹转印铝板相对普通白色面板的升级差价</x:v>
      </x:c>
      <x:c r="E19" s="22" t="str">
        <x:v>m²</x:v>
      </x:c>
      <x:c r="F19" s="44" t="n">
        <x:v>80</x:v>
      </x:c>
      <x:c r="G19" s="44" t="n">
        <x:v>160</x:v>
      </x:c>
      <x:c r="H19" s="46" t="str">
        <x:v>https://www.1688.com/jiage/-B7F0C9BDC2C1B7E4CED1B0E5.html</x:v>
      </x:c>
      <x:c r="I19" s="22" t="str">
        <x:v>2026-08-30</x:v>
      </x:c>
      <x:c r="J19" s="22" t="str">
        <x:v>佛山蜂窝/铝板公开供应行情形成的木纹转印升级差价预算，不是完整吊顶板价格</x:v>
      </x:c>
      <x:c r="K19" s="22" t="str">
        <x:v>要求厂家与主吊顶同批深化、同色样板确认</x:v>
      </x:c>
      <x:c r="L19" s="22" t="str">
        <x:v>木纹工艺、板厚和起订量会改变差价</x:v>
      </x:c>
      <x:c r="M19" s="29" t="str">
        <x:v>woodgrain_upgrade|mid</x:v>
      </x:c>
      <x:c r="N19" s="29" t="n">
        <x:v>15</x:v>
      </x:c>
    </x:row>
    <x:row r="20">
      <x:c r="A20" s="22" t="str">
        <x:v>woodgrain_upgrade</x:v>
      </x:c>
      <x:c r="B20" s="22" t="str">
        <x:v>经济实用型</x:v>
      </x:c>
      <x:c r="C20" s="22" t="str">
        <x:v>取消木纹升级</x:v>
      </x:c>
      <x:c r="D20" s="22" t="str">
        <x:v>经济方案保持全部浅灰白吊顶，不做木纹点缀；仅保留极小管理预留</x:v>
      </x:c>
      <x:c r="E20" s="22" t="str">
        <x:v>m²</x:v>
      </x:c>
      <x:c r="F20" s="44" t="n">
        <x:v>0</x:v>
      </x:c>
      <x:c r="G20" s="44" t="n">
        <x:v>0</x:v>
      </x:c>
      <x:c r="H20" s="46" t="str">
        <x:v>https://www.1688.com/market/-36303078363030C2C1BFDBB0E5.html</x:v>
      </x:c>
      <x:c r="I20" s="22" t="str">
        <x:v>2026-08-30</x:v>
      </x:c>
      <x:c r="J20" s="22" t="str">
        <x:v>经济方案设计选择为取消木纹升级，价格为0并从经济档造价中排除</x:v>
      </x:c>
      <x:c r="K20" s="22" t="str">
        <x:v>全部使用主吊顶浅灰白面板，最易补货</x:v>
      </x:c>
      <x:c r="L20" s="22" t="str">
        <x:v>正式供应商回填应标注不采用；若恢复木纹点缀需重新询价</x:v>
      </x:c>
      <x:c r="M20" s="29" t="str">
        <x:v>woodgrain_upgrade|economy</x:v>
      </x:c>
      <x:c r="N20" s="29" t="n">
        <x:v>16</x:v>
      </x:c>
    </x:row>
    <x:row r="21">
      <x:c r="A21" s="22" t="str">
        <x:v>linear_light_channel</x:v>
      </x:c>
      <x:c r="B21" s="22" t="str">
        <x:v>中档耐用型</x:v>
      </x:c>
      <x:c r="C21" s="22" t="str">
        <x:v>雷士/三雄极光配套型材或等效</x:v>
      </x:c>
      <x:c r="D21" s="22" t="str">
        <x:v>防潮铝型材灯槽、柔光罩及端部配件</x:v>
      </x:c>
      <x:c r="E21" s="22" t="str">
        <x:v>m</x:v>
      </x:c>
      <x:c r="F21" s="44" t="n">
        <x:v>45</x:v>
      </x:c>
      <x:c r="G21" s="44" t="n">
        <x:v>90</x:v>
      </x:c>
      <x:c r="H21" s="46" t="str">
        <x:v>https://www.jd.com/chanpin/38842.html</x:v>
      </x:c>
      <x:c r="I21" s="22" t="str">
        <x:v>2026-08-30</x:v>
      </x:c>
      <x:c r="J21" s="22" t="str">
        <x:v>品牌灯带公开目录和工程型材市场预算区间，不含灯带、驱动、运税和安装</x:v>
      </x:c>
      <x:c r="K21" s="22" t="str">
        <x:v>型材与吊顶系统、灯带同步深化</x:v>
      </x:c>
      <x:c r="L21" s="22" t="str">
        <x:v>转角、异形、长距离连续罩会增加损耗和加工费</x:v>
      </x:c>
      <x:c r="M21" s="29" t="str">
        <x:v>linear_light_channel|mid</x:v>
      </x:c>
      <x:c r="N21" s="29" t="n">
        <x:v>17</x:v>
      </x:c>
    </x:row>
    <x:row r="22">
      <x:c r="A22" s="22" t="str">
        <x:v>linear_light_channel</x:v>
      </x:c>
      <x:c r="B22" s="22" t="str">
        <x:v>经济实用型</x:v>
      </x:c>
      <x:c r="C22" s="22" t="str">
        <x:v>佛山/中山标准灯槽型材</x:v>
      </x:c>
      <x:c r="D22" s="22" t="str">
        <x:v>标准防潮铝型材灯槽及柔光罩</x:v>
      </x:c>
      <x:c r="E22" s="22" t="str">
        <x:v>m</x:v>
      </x:c>
      <x:c r="F22" s="44" t="n">
        <x:v>25</x:v>
      </x:c>
      <x:c r="G22" s="44" t="n">
        <x:v>45</x:v>
      </x:c>
      <x:c r="H22" s="46" t="str">
        <x:v>https://www.1688.com/chanpin/-C2C1BFDBB0E53630307831323030.html</x:v>
      </x:c>
      <x:c r="I22" s="22" t="str">
        <x:v>2026-08-30</x:v>
      </x:c>
      <x:c r="J22" s="22" t="str">
        <x:v>铝型材及工程吊顶公开批发供应形成的预算区间，不含灯带、驱动、运税和安装</x:v>
      </x:c>
      <x:c r="K22" s="22" t="str">
        <x:v>优先广东标准型材，方便截料和补货</x:v>
      </x:c>
      <x:c r="L22" s="22" t="str">
        <x:v>需样品检查罩体耐黄变和型材散热</x:v>
      </x:c>
      <x:c r="M22" s="29" t="str">
        <x:v>linear_light_channel|economy</x:v>
      </x:c>
      <x:c r="N22" s="29" t="n">
        <x:v>18</x:v>
      </x:c>
    </x:row>
    <x:row r="23">
      <x:c r="A23" s="22" t="str">
        <x:v>ceiling_access_hatch</x:v>
      </x:c>
      <x:c r="B23" s="22" t="str">
        <x:v>中档耐用型</x:v>
      </x:c>
      <x:c r="C23" s="22" t="str">
        <x:v>同吊顶系统定制</x:v>
      </x:c>
      <x:c r="D23" s="22" t="str">
        <x:v>同面材隐框可开启检修口，含边框与五金</x:v>
      </x:c>
      <x:c r="E23" s="22" t="str">
        <x:v>套</x:v>
      </x:c>
      <x:c r="F23" s="44" t="n">
        <x:v>280</x:v>
      </x:c>
      <x:c r="G23" s="44" t="n">
        <x:v>550</x:v>
      </x:c>
      <x:c r="H23" s="46" t="str">
        <x:v>https://detail.1688.com/offer/966880925582.html</x:v>
      </x:c>
      <x:c r="I23" s="22" t="str">
        <x:v>2026-08-30</x:v>
      </x:c>
      <x:c r="J23" s="22" t="str">
        <x:v>佛山工程吊顶供应页及定制检修口预算区间，不含运税安装</x:v>
      </x:c>
      <x:c r="K23" s="22" t="str">
        <x:v>由主吊顶厂家统一制作，便于同色和售后</x:v>
      </x:c>
      <x:c r="L23" s="22" t="str">
        <x:v>尺寸、承重、开启方式和消防接口需深化</x:v>
      </x:c>
      <x:c r="M23" s="29" t="str">
        <x:v>ceiling_access_hatch|mid</x:v>
      </x:c>
      <x:c r="N23" s="29" t="n">
        <x:v>19</x:v>
      </x:c>
    </x:row>
    <x:row r="24">
      <x:c r="A24" s="22" t="str">
        <x:v>ceiling_access_hatch</x:v>
      </x:c>
      <x:c r="B24" s="22" t="str">
        <x:v>经济实用型</x:v>
      </x:c>
      <x:c r="C24" s="22" t="str">
        <x:v>成品铝合金检修口</x:v>
      </x:c>
      <x:c r="D24" s="22" t="str">
        <x:v>标准铝合金可开启检修口</x:v>
      </x:c>
      <x:c r="E24" s="22" t="str">
        <x:v>套</x:v>
      </x:c>
      <x:c r="F24" s="44" t="n">
        <x:v>120</x:v>
      </x:c>
      <x:c r="G24" s="44" t="n">
        <x:v>280</x:v>
      </x:c>
      <x:c r="H24" s="46" t="str">
        <x:v>https://www.1688.com/market/-36303078363030C2C1BFDBB0E5.html</x:v>
      </x:c>
      <x:c r="I24" s="22" t="str">
        <x:v>2026-08-30</x:v>
      </x:c>
      <x:c r="J24" s="22" t="str">
        <x:v>工程铝板公开市场形成的成品检修口预算区间，不含运税安装</x:v>
      </x:c>
      <x:c r="K24" s="22" t="str">
        <x:v>广东标准成品易补货</x:v>
      </x:c>
      <x:c r="L24" s="22" t="str">
        <x:v>颜色、尺寸与吊顶排版可能不完全隐形</x:v>
      </x:c>
      <x:c r="M24" s="29" t="str">
        <x:v>ceiling_access_hatch|economy</x:v>
      </x:c>
      <x:c r="N24" s="29" t="n">
        <x:v>20</x:v>
      </x:c>
    </x:row>
    <x:row r="25">
      <x:c r="A25" s="22" t="str">
        <x:v>moisture_downlight</x:v>
      </x:c>
      <x:c r="B25" s="22" t="str">
        <x:v>中档耐用型</x:v>
      </x:c>
      <x:c r="C25" s="22" t="str">
        <x:v>欧普照明</x:v>
      </x:c>
      <x:c r="D25" s="22" t="str">
        <x:v>7–10W、4000K、Ra≥90、小型白色防潮/防水筒灯，汤池区正面建议IP65</x:v>
      </x:c>
      <x:c r="E25" s="22" t="str">
        <x:v>套</x:v>
      </x:c>
      <x:c r="F25" s="44" t="n">
        <x:v>90</x:v>
      </x:c>
      <x:c r="G25" s="44" t="n">
        <x:v>180</x:v>
      </x:c>
      <x:c r="H25" s="46" t="str">
        <x:v>https://item.jd.com/10166829861157.html</x:v>
      </x:c>
      <x:c r="I25" s="22" t="str">
        <x:v>2026-08-30</x:v>
      </x:c>
      <x:c r="J25" s="22" t="str">
        <x:v>欧普4000K防水筒灯公开产品页与Ra90官网产品能力形成的单套预算区间，含配套驱动，不含安装</x:v>
      </x:c>
      <x:c r="K25" s="22" t="str">
        <x:v>广东/清远零售和工程渠道较容易补货售后</x:v>
      </x:c>
      <x:c r="L25" s="22" t="str">
        <x:v>公开页需进一步核对实际IP和Ra；最终以样灯、检测资料和照度计算为准</x:v>
      </x:c>
      <x:c r="M25" s="29" t="str">
        <x:v>moisture_downlight|mid</x:v>
      </x:c>
      <x:c r="N25" s="29" t="n">
        <x:v>21</x:v>
      </x:c>
    </x:row>
    <x:row r="26">
      <x:c r="A26" s="22" t="str">
        <x:v>moisture_downlight</x:v>
      </x:c>
      <x:c r="B26" s="22" t="str">
        <x:v>经济实用型</x:v>
      </x:c>
      <x:c r="C26" s="22" t="str">
        <x:v>三雄极光/雷士同档</x:v>
      </x:c>
      <x:c r="D26" s="22" t="str">
        <x:v>7–9W、4000K、小型白色防潮筒灯，性能满足湿区分区要求</x:v>
      </x:c>
      <x:c r="E26" s="22" t="str">
        <x:v>套</x:v>
      </x:c>
      <x:c r="F26" s="44" t="n">
        <x:v>55</x:v>
      </x:c>
      <x:c r="G26" s="44" t="n">
        <x:v>90</x:v>
      </x:c>
      <x:c r="H26" s="46" t="str">
        <x:v>https://www.jd.com/chanpin/1271801.html</x:v>
      </x:c>
      <x:c r="I26" s="22" t="str">
        <x:v>2026-08-30</x:v>
      </x:c>
      <x:c r="J26" s="22" t="str">
        <x:v>防潮筒灯公开品牌行情形成的预算区间，含常规驱动，不含安装</x:v>
      </x:c>
      <x:c r="K26" s="22" t="str">
        <x:v>优先广东工程照明正规经销商</x:v>
      </x:c>
      <x:c r="L26" s="22" t="str">
        <x:v>经济档仍须提供IP、色温和显色性证明，不以商品标题代替检测资料</x:v>
      </x:c>
      <x:c r="M26" s="29" t="str">
        <x:v>moisture_downlight|economy</x:v>
      </x:c>
      <x:c r="N26" s="29" t="n">
        <x:v>22</x:v>
      </x:c>
    </x:row>
    <x:row r="27">
      <x:c r="A27" s="22" t="str">
        <x:v>ip67_linear_light</x:v>
      </x:c>
      <x:c r="B27" s="22" t="str">
        <x:v>中档耐用型</x:v>
      </x:c>
      <x:c r="C27" s="22" t="str">
        <x:v>欧普照明</x:v>
      </x:c>
      <x:c r="D27" s="22" t="str">
        <x:v>24V、4000K、Ra≥90灯带，临水段增加IP67套管/灌胶防护</x:v>
      </x:c>
      <x:c r="E27" s="22" t="str">
        <x:v>m</x:v>
      </x:c>
      <x:c r="F27" s="44" t="n">
        <x:v>55</x:v>
      </x:c>
      <x:c r="G27" s="44" t="n">
        <x:v>95</x:v>
      </x:c>
      <x:c r="H27" s="46" t="str">
        <x:v>https://detail.youzan.com/show/goods?from_source=gbox_seo&amp;alias=3f2w2wwnqcntz</x:v>
      </x:c>
      <x:c r="I27" s="22" t="str">
        <x:v>2026-08-30</x:v>
      </x:c>
      <x:c r="J27" s="22" t="str">
        <x:v>欧普官方商城24V Ra90灯带能力页基础上计入IP67封装预算，不含型材、驱动和安装</x:v>
      </x:c>
      <x:c r="K27" s="22" t="str">
        <x:v>品牌渠道易补货，要求同一批次同一色容差</x:v>
      </x:c>
      <x:c r="L27" s="22" t="str">
        <x:v>官方页面的裸板产品不等同IP67，必须由供应商提供成套防水封装和检测资料</x:v>
      </x:c>
      <x:c r="M27" s="29" t="str">
        <x:v>ip67_linear_light|mid</x:v>
      </x:c>
      <x:c r="N27" s="29" t="n">
        <x:v>23</x:v>
      </x:c>
    </x:row>
    <x:row r="28">
      <x:c r="A28" s="22" t="str">
        <x:v>ip67_linear_light</x:v>
      </x:c>
      <x:c r="B28" s="22" t="str">
        <x:v>经济实用型</x:v>
      </x:c>
      <x:c r="C28" s="22" t="str">
        <x:v>三雄极光/广东工程灯带厂家</x:v>
      </x:c>
      <x:c r="D28" s="22" t="str">
        <x:v>24V、4000K、防水灯带，临水段IP67，显色指数建议Ra≥90</x:v>
      </x:c>
      <x:c r="E28" s="22" t="str">
        <x:v>m</x:v>
      </x:c>
      <x:c r="F28" s="44" t="n">
        <x:v>30</x:v>
      </x:c>
      <x:c r="G28" s="44" t="n">
        <x:v>55</x:v>
      </x:c>
      <x:c r="H28" s="46" t="str">
        <x:v>https://www.jd.com/chanpin/38842.html</x:v>
      </x:c>
      <x:c r="I28" s="22" t="str">
        <x:v>2026-08-30</x:v>
      </x:c>
      <x:c r="J28" s="22" t="str">
        <x:v>品牌灯带公开行情与广东工程灯带预算区间，不含型材、驱动和安装</x:v>
      </x:c>
      <x:c r="K28" s="22" t="str">
        <x:v>中山/广州/佛山渠道可供货，需锁批次</x:v>
      </x:c>
      <x:c r="L28" s="22" t="str">
        <x:v>不得以IP20裸板替代临水IP67成套产品</x:v>
      </x:c>
      <x:c r="M28" s="29" t="str">
        <x:v>ip67_linear_light|economy</x:v>
      </x:c>
      <x:c r="N28" s="29" t="n">
        <x:v>24</x:v>
      </x:c>
    </x:row>
    <x:row r="29">
      <x:c r="A29" s="22" t="str">
        <x:v>wall_washer</x:v>
      </x:c>
      <x:c r="B29" s="22" t="str">
        <x:v>中档耐用型</x:v>
      </x:c>
      <x:c r="C29" s="22" t="str">
        <x:v>三雄极光</x:v>
      </x:c>
      <x:c r="D29" s="22" t="str">
        <x:v>小型IP65防眩洗墙灯或嵌入式可调洗墙筒灯，4000K</x:v>
      </x:c>
      <x:c r="E29" s="22" t="str">
        <x:v>套</x:v>
      </x:c>
      <x:c r="F29" s="44" t="n">
        <x:v>220</x:v>
      </x:c>
      <x:c r="G29" s="44" t="n">
        <x:v>420</x:v>
      </x:c>
      <x:c r="H29" s="46" t="str">
        <x:v>https://www.taobao.com/list/item/aUVFUWJ3UHQzWEQyYmdoNXY5THRXUT09.htm</x:v>
      </x:c>
      <x:c r="I29" s="22" t="str">
        <x:v>2026-08-30</x:v>
      </x:c>
      <x:c r="J29" s="22" t="str">
        <x:v>三雄极光IP65洗墙灯公开商品页形成的工程单套预算区间，不含安装</x:v>
      </x:c>
      <x:c r="K29" s="22" t="str">
        <x:v>广州品牌，广东售后和工程渠道相对便利</x:v>
      </x:c>
      <x:c r="L29" s="22" t="str">
        <x:v>户外线性洗墙灯与室内嵌入式灯不同，最终按端景配光样灯正式询价</x:v>
      </x:c>
      <x:c r="M29" s="29" t="str">
        <x:v>wall_washer|mid</x:v>
      </x:c>
      <x:c r="N29" s="29" t="n">
        <x:v>25</x:v>
      </x:c>
    </x:row>
    <x:row r="30">
      <x:c r="A30" s="22" t="str">
        <x:v>wall_washer</x:v>
      </x:c>
      <x:c r="B30" s="22" t="str">
        <x:v>经济实用型</x:v>
      </x:c>
      <x:c r="C30" s="22" t="str">
        <x:v>雷士/三雄极光标准可调筒灯</x:v>
      </x:c>
      <x:c r="D30" s="22" t="str">
        <x:v>通过配光确认的4000K可调防潮筒灯承担局部洗墙</x:v>
      </x:c>
      <x:c r="E30" s="22" t="str">
        <x:v>套</x:v>
      </x:c>
      <x:c r="F30" s="44" t="n">
        <x:v>100</x:v>
      </x:c>
      <x:c r="G30" s="44" t="n">
        <x:v>220</x:v>
      </x:c>
      <x:c r="H30" s="46" t="str">
        <x:v>https://www.jd.com/xinghao/9855a6603c387fc9932f.html</x:v>
      </x:c>
      <x:c r="I30" s="22" t="str">
        <x:v>2026-08-30</x:v>
      </x:c>
      <x:c r="J30" s="22" t="str">
        <x:v>三雄极光洗墙灯公开型号目录和品牌可调筒灯预算区间，不含安装</x:v>
      </x:c>
      <x:c r="K30" s="22" t="str">
        <x:v>广东正规渠道易补货</x:v>
      </x:c>
      <x:c r="L30" s="22" t="str">
        <x:v>必须通过样灯确认墙面均匀度和水面眩光，普通筒灯不一定满足</x:v>
      </x:c>
      <x:c r="M30" s="29" t="str">
        <x:v>wall_washer|economy</x:v>
      </x:c>
      <x:c r="N30" s="29" t="n">
        <x:v>26</x:v>
      </x:c>
    </x:row>
    <x:row r="31">
      <x:c r="A31" s="22" t="str">
        <x:v>lighting_driver</x:v>
      </x:c>
      <x:c r="B31" s="22" t="str">
        <x:v>中档耐用型</x:v>
      </x:c>
      <x:c r="C31" s="22" t="str">
        <x:v>明纬 MEAN WELL</x:v>
      </x:c>
      <x:c r="D31" s="22" t="str">
        <x:v>24V IP67恒压防水驱动，功率按灯带分段并保留余量</x:v>
      </x:c>
      <x:c r="E31" s="22" t="str">
        <x:v>套</x:v>
      </x:c>
      <x:c r="F31" s="44" t="n">
        <x:v>180</x:v>
      </x:c>
      <x:c r="G31" s="44" t="n">
        <x:v>360</x:v>
      </x:c>
      <x:c r="H31" s="46" t="str">
        <x:v>https://www.1688.com/chanpin/-C3F7CEB3B7C0CBAEB5E7D4B4323476.html</x:v>
      </x:c>
      <x:c r="I31" s="22" t="str">
        <x:v>2026-08-30</x:v>
      </x:c>
      <x:c r="J31" s="22" t="str">
        <x:v>明纬LPV系列IP67防水24V电源公开供应页形成的预算区间，不含安装</x:v>
      </x:c>
      <x:c r="K31" s="22" t="str">
        <x:v>广东深圳供应渠道丰富，注意辨别正品和质保</x:v>
      </x:c>
      <x:c r="L31" s="22" t="str">
        <x:v>功率未深化，需按灯带总瓦数、压降和回路分段重新选型</x:v>
      </x:c>
      <x:c r="M31" s="29" t="str">
        <x:v>lighting_driver|mid</x:v>
      </x:c>
      <x:c r="N31" s="29" t="n">
        <x:v>27</x:v>
      </x:c>
    </x:row>
    <x:row r="32">
      <x:c r="A32" s="22" t="str">
        <x:v>lighting_driver</x:v>
      </x:c>
      <x:c r="B32" s="22" t="str">
        <x:v>经济实用型</x:v>
      </x:c>
      <x:c r="C32" s="22" t="str">
        <x:v>欧普/三雄极光配套防潮驱动</x:v>
      </x:c>
      <x:c r="D32" s="22" t="str">
        <x:v>24V恒压驱动，设置于可检修干燥位置并满足环境防护</x:v>
      </x:c>
      <x:c r="E32" s="22" t="str">
        <x:v>套</x:v>
      </x:c>
      <x:c r="F32" s="44" t="n">
        <x:v>90</x:v>
      </x:c>
      <x:c r="G32" s="44" t="n">
        <x:v>180</x:v>
      </x:c>
      <x:c r="H32" s="46" t="str">
        <x:v>https://www.jd.com/jiage/65286918fbdbe3c0bdc.html</x:v>
      </x:c>
      <x:c r="I32" s="22" t="str">
        <x:v>2026-08-30</x:v>
      </x:c>
      <x:c r="J32" s="22" t="str">
        <x:v>24V品牌开关电源公开报价行情形成的预算区间，不含安装</x:v>
      </x:c>
      <x:c r="K32" s="22" t="str">
        <x:v>优先使用灯带同品牌配套驱动和广东售后渠道</x:v>
      </x:c>
      <x:c r="L32" s="22" t="str">
        <x:v>若驱动安装在高湿区域，防护等级和价格需上调</x:v>
      </x:c>
      <x:c r="M32" s="29" t="str">
        <x:v>lighting_driver|economy</x:v>
      </x:c>
      <x:c r="N32" s="29" t="n">
        <x:v>28</x:v>
      </x:c>
    </x:row>
    <x:row r="33">
      <x:c r="A33" s="22" t="str">
        <x:v>tile_installation</x:v>
      </x:c>
      <x:c r="B33" s="22" t="str">
        <x:v>中档耐用型</x:v>
      </x:c>
      <x:c r="C33" s="22" t="str">
        <x:v>清远/英德熟练湿区铺贴班组</x:v>
      </x:c>
      <x:c r="D33" s="22" t="str">
        <x:v>纯人工铺贴，包含小砖、池壁、圆角与大板综合难度，不含辅材</x:v>
      </x:c>
      <x:c r="E33" s="22" t="str">
        <x:v>m²</x:v>
      </x:c>
      <x:c r="F33" s="44" t="n">
        <x:v>65</x:v>
      </x:c>
      <x:c r="G33" s="44" t="n">
        <x:v>105</x:v>
      </x:c>
      <x:c r="H33" s="46" t="str">
        <x:v>https://www.to8to.com/yezhu/z363332.html</x:v>
      </x:c>
      <x:c r="I33" s="22" t="str">
        <x:v>2026-08-30</x:v>
      </x:c>
      <x:c r="J33" s="22" t="str">
        <x:v>广州2026主流铺贴人工及广东公开人工区间基础上，对汤池小砖、转角和大板增加难度系数；不含找平、防水、瓷砖胶和美缝</x:v>
      </x:c>
      <x:c r="K33" s="22" t="str">
        <x:v>以英德黄花镇现场班组和住宿交通条件复询</x:v>
      </x:c>
      <x:c r="L33" s="22" t="str">
        <x:v>不同规格应分项报价，综合单价仅用于概算</x:v>
      </x:c>
      <x:c r="M33" s="29" t="str">
        <x:v>tile_installation|mid</x:v>
      </x:c>
      <x:c r="N33" s="29" t="n">
        <x:v>29</x:v>
      </x:c>
    </x:row>
    <x:row r="34">
      <x:c r="A34" s="22" t="str">
        <x:v>tile_installation</x:v>
      </x:c>
      <x:c r="B34" s="22" t="str">
        <x:v>经济实用型</x:v>
      </x:c>
      <x:c r="C34" s="22" t="str">
        <x:v>清远/英德常规铺贴班组</x:v>
      </x:c>
      <x:c r="D34" s="22" t="str">
        <x:v>纯人工铺贴综合预算，不含辅材和湿区专项节点</x:v>
      </x:c>
      <x:c r="E34" s="22" t="str">
        <x:v>m²</x:v>
      </x:c>
      <x:c r="F34" s="44" t="n">
        <x:v>40</x:v>
      </x:c>
      <x:c r="G34" s="44" t="n">
        <x:v>65</x:v>
      </x:c>
      <x:c r="H34" s="46" t="str">
        <x:v>https://aiqicha.baidu.com/details/ugknowledge?id=9ef1e3a36c0a385e587d22fbb6348f4d</x:v>
      </x:c>
      <x:c r="I34" s="22" t="str">
        <x:v>2026-08-30</x:v>
      </x:c>
      <x:c r="J34" s="22" t="str">
        <x:v>公开广东纯人工通常25–50元/㎡，考虑本项目小砖、池体和大规格墙砖后上调；不含找平、防水、瓷砖胶和美缝</x:v>
      </x:c>
      <x:c r="K34" s="22" t="str">
        <x:v>正式询价需按池体、地面、大板墙砖分开回填</x:v>
      </x:c>
      <x:c r="L34" s="22" t="str">
        <x:v>不能用常规地砖最低价承诺池体复杂铺贴质量</x:v>
      </x:c>
      <x:c r="M34" s="29" t="str">
        <x:v>tile_installation|economy</x:v>
      </x:c>
      <x:c r="N34" s="29" t="n">
        <x:v>30</x:v>
      </x:c>
    </x:row>
    <x:row r="35">
      <x:c r="A35" s="22" t="str">
        <x:v>ceiling_installation</x:v>
      </x:c>
      <x:c r="B35" s="22" t="str">
        <x:v>中档耐用型</x:v>
      </x:c>
      <x:c r="C35" s="22" t="str">
        <x:v>主吊顶厂家专业安装队</x:v>
      </x:c>
      <x:c r="D35" s="22" t="str">
        <x:v>铝蜂窝/铝扣板系统安装纯人工，含常规排版和检修口配合</x:v>
      </x:c>
      <x:c r="E35" s="22" t="str">
        <x:v>m²</x:v>
      </x:c>
      <x:c r="F35" s="44" t="n">
        <x:v>55</x:v>
      </x:c>
      <x:c r="G35" s="44" t="n">
        <x:v>90</x:v>
      </x:c>
      <x:c r="H35" s="46" t="str">
        <x:v>https://aiqicha.baidu.com/details/ugknowledge?id=4cd1c4140e9565289e6c769f5b0cb29e</x:v>
      </x:c>
      <x:c r="I35" s="22" t="str">
        <x:v>2026-08-30</x:v>
      </x:c>
      <x:c r="J35" s="22" t="str">
        <x:v>公开纯人工30–65元/㎡基础上考虑大板、高湿防腐节点和异地项目协调；龙骨材料已计入吊顶系统行</x:v>
      </x:c>
      <x:c r="K35" s="22" t="str">
        <x:v>优先厂家派驻或授权安装，便于质量责任统一</x:v>
      </x:c>
      <x:c r="L35" s="22" t="str">
        <x:v>跌级、异形、超高和夜间施工另计</x:v>
      </x:c>
      <x:c r="M35" s="29" t="str">
        <x:v>ceiling_installation|mid</x:v>
      </x:c>
      <x:c r="N35" s="29" t="n">
        <x:v>31</x:v>
      </x:c>
    </x:row>
    <x:row r="36">
      <x:c r="A36" s="22" t="str">
        <x:v>ceiling_installation</x:v>
      </x:c>
      <x:c r="B36" s="22" t="str">
        <x:v>经济实用型</x:v>
      </x:c>
      <x:c r="C36" s="22" t="str">
        <x:v>清远本地铝扣板安装班组</x:v>
      </x:c>
      <x:c r="D36" s="22" t="str">
        <x:v>标准600×600铝扣板系统安装纯人工</x:v>
      </x:c>
      <x:c r="E36" s="22" t="str">
        <x:v>m²</x:v>
      </x:c>
      <x:c r="F36" s="44" t="n">
        <x:v>35</x:v>
      </x:c>
      <x:c r="G36" s="44" t="n">
        <x:v>55</x:v>
      </x:c>
      <x:c r="H36" s="46" t="str">
        <x:v>https://aiqicha.baidu.com/details/ugknowledge?id=de7cfd70d88af68bde09cd91a5bca797</x:v>
      </x:c>
      <x:c r="I36" s="22" t="str">
        <x:v>2026-08-30</x:v>
      </x:c>
      <x:c r="J36" s="22" t="str">
        <x:v>公开铝扣板纯人工30–65元/㎡取经济区间；龙骨材料已计入吊顶系统行</x:v>
      </x:c>
      <x:c r="K36" s="22" t="str">
        <x:v>要求有高湿工程案例并接受厂家节点交底</x:v>
      </x:c>
      <x:c r="L36" s="22" t="str">
        <x:v>不含灯槽、异形收边和机电拆改</x:v>
      </x:c>
      <x:c r="M36" s="29" t="str">
        <x:v>ceiling_installation|economy</x:v>
      </x:c>
      <x:c r="N36" s="29" t="n">
        <x:v>32</x:v>
      </x:c>
    </x:row>
    <x:row r="37">
      <x:c r="A37" s="22" t="str">
        <x:v>point_light_installation</x:v>
      </x:c>
      <x:c r="B37" s="22" t="str">
        <x:v>中档耐用型</x:v>
      </x:c>
      <x:c r="C37" s="22" t="str">
        <x:v>持证电工/照明安装班组</x:v>
      </x:c>
      <x:c r="D37" s="22" t="str">
        <x:v>筒灯、洗墙灯单点安装，含开孔定位与接线，不含线管配线</x:v>
      </x:c>
      <x:c r="E37" s="22" t="str">
        <x:v>套</x:v>
      </x:c>
      <x:c r="F37" s="44" t="n">
        <x:v>30</x:v>
      </x:c>
      <x:c r="G37" s="44" t="n">
        <x:v>55</x:v>
      </x:c>
      <x:c r="H37" s="46" t="str">
        <x:v>https://b2bwiki.baidu.com/article/740469431006068737</x:v>
      </x:c>
      <x:c r="I37" s="22" t="str">
        <x:v>2026-08-30</x:v>
      </x:c>
      <x:c r="J37" s="22" t="str">
        <x:v>公开基础灯位15–30元/个并可能加收开孔10–20元/个，结合铝板开孔和湿区节点形成预算区间</x:v>
      </x:c>
      <x:c r="K37" s="22" t="str">
        <x:v>由持证电工与吊顶厂家联合定位</x:v>
      </x:c>
      <x:c r="L37" s="22" t="str">
        <x:v>不含新增线路、回路、开关、配电和高空措施</x:v>
      </x:c>
      <x:c r="M37" s="29" t="str">
        <x:v>point_light_installation|mid</x:v>
      </x:c>
      <x:c r="N37" s="29" t="n">
        <x:v>33</x:v>
      </x:c>
    </x:row>
    <x:row r="38">
      <x:c r="A38" s="22" t="str">
        <x:v>point_light_installation</x:v>
      </x:c>
      <x:c r="B38" s="22" t="str">
        <x:v>经济实用型</x:v>
      </x:c>
      <x:c r="C38" s="22" t="str">
        <x:v>清远本地持证电工</x:v>
      </x:c>
      <x:c r="D38" s="22" t="str">
        <x:v>标准筒灯/洗墙灯单点安装，不含线路改造</x:v>
      </x:c>
      <x:c r="E38" s="22" t="str">
        <x:v>套</x:v>
      </x:c>
      <x:c r="F38" s="44" t="n">
        <x:v>20</x:v>
      </x:c>
      <x:c r="G38" s="44" t="n">
        <x:v>35</x:v>
      </x:c>
      <x:c r="H38" s="46" t="str">
        <x:v>https://b2bwiki.baidu.com/article/740469431006068737</x:v>
      </x:c>
      <x:c r="I38" s="22" t="str">
        <x:v>2026-08-30</x:v>
      </x:c>
      <x:c r="J38" s="22" t="str">
        <x:v>公开灯位安装与开孔价格取经济区间，不含线管配线和配电改造</x:v>
      </x:c>
      <x:c r="K38" s="22" t="str">
        <x:v>正式报价按铝板开孔、接线和调试分别确认</x:v>
      </x:c>
      <x:c r="L38" s="22" t="str">
        <x:v>湿区电气安全和回路测试不可因降本省略</x:v>
      </x:c>
      <x:c r="M38" s="29" t="str">
        <x:v>point_light_installation|economy</x:v>
      </x:c>
      <x:c r="N38" s="29" t="n">
        <x:v>34</x:v>
      </x:c>
    </x:row>
    <x:row r="39">
      <x:c r="A39" s="22" t="str">
        <x:v>linear_light_installation</x:v>
      </x:c>
      <x:c r="B39" s="22" t="str">
        <x:v>中档耐用型</x:v>
      </x:c>
      <x:c r="C39" s="22" t="str">
        <x:v>照明厂家授权安装/持证电工</x:v>
      </x:c>
      <x:c r="D39" s="22" t="str">
        <x:v>灯槽、灯带、接头和分段调试综合安装，不含新增线路</x:v>
      </x:c>
      <x:c r="E39" s="22" t="str">
        <x:v>m</x:v>
      </x:c>
      <x:c r="F39" s="44" t="n">
        <x:v>30</x:v>
      </x:c>
      <x:c r="G39" s="44" t="n">
        <x:v>60</x:v>
      </x:c>
      <x:c r="H39" s="46" t="str">
        <x:v>https://b2bwiki.baidu.com/article/712250971927003137</x:v>
      </x:c>
      <x:c r="I39" s="22" t="str">
        <x:v>2026-08-30</x:v>
      </x:c>
      <x:c r="J39" s="22" t="str">
        <x:v>公开灯带按米安装收费指南结合IP67密封、铝槽和调试形成预算区间</x:v>
      </x:c>
      <x:c r="K39" s="22" t="str">
        <x:v>与灯具、驱动和吊顶厂家联合调试</x:v>
      </x:c>
      <x:c r="L39" s="22" t="str">
        <x:v>转角、长距离压降、焊接和防水接头数量影响价格</x:v>
      </x:c>
      <x:c r="M39" s="29" t="str">
        <x:v>linear_light_installation|mid</x:v>
      </x:c>
      <x:c r="N39" s="29" t="n">
        <x:v>35</x:v>
      </x:c>
    </x:row>
    <x:row r="40">
      <x:c r="A40" s="22" t="str">
        <x:v>linear_light_installation</x:v>
      </x:c>
      <x:c r="B40" s="22" t="str">
        <x:v>经济实用型</x:v>
      </x:c>
      <x:c r="C40" s="22" t="str">
        <x:v>清远本地持证电工</x:v>
      </x:c>
      <x:c r="D40" s="22" t="str">
        <x:v>标准直线灯带安装与接线，不含新增线路</x:v>
      </x:c>
      <x:c r="E40" s="22" t="str">
        <x:v>m</x:v>
      </x:c>
      <x:c r="F40" s="44" t="n">
        <x:v>18</x:v>
      </x:c>
      <x:c r="G40" s="44" t="n">
        <x:v>30</x:v>
      </x:c>
      <x:c r="H40" s="46" t="str">
        <x:v>https://zhidao.baidu.com/question/277615858862946605.html</x:v>
      </x:c>
      <x:c r="I40" s="22" t="str">
        <x:v>2026-08-30</x:v>
      </x:c>
      <x:c r="J40" s="22" t="str">
        <x:v>公开灯带安装按米收费的低位区间结合本项目直线灯槽形成预算，不含线路改造</x:v>
      </x:c>
      <x:c r="K40" s="22" t="str">
        <x:v>正式报价须明确焊点、防水接头和调试</x:v>
      </x:c>
      <x:c r="L40" s="22" t="str">
        <x:v>百度知道区间宽、可信度有限，仅作低档询价起点，必须以本地书面报价替换</x:v>
      </x:c>
      <x:c r="M40" s="29" t="str">
        <x:v>linear_light_installation|economy</x:v>
      </x:c>
      <x:c r="N40" s="29" t="n">
        <x:v>36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ecd5abc3da245c0"/>
  </x:tableParts>
</x:worksheet>
</file>